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mot\JDT\"/>
    </mc:Choice>
  </mc:AlternateContent>
  <bookViews>
    <workbookView xWindow="0" yWindow="0" windowWidth="25200" windowHeight="11850" activeTab="7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Planning!$A$1:$D$19</definedName>
    <definedName name="objPlanifWeek">PlanificationWeek!$A$1:$D$14</definedName>
    <definedName name="objRealizedWeek" localSheetId="6">achievementWeek!$A$1:$D$19</definedName>
    <definedName name="objRealizedWeek" localSheetId="7">JNLTRAV!$A$1:$D$35</definedName>
    <definedName name="_xlnm.Print_Area" localSheetId="1">Diagramme!$A$1:$MZ$31</definedName>
    <definedName name="_xlnm.Print_Area" localSheetId="0">Donnees!$A$1:$G$54</definedName>
    <definedName name="_xlnm.Print_Area" localSheetId="7">JNLTRAV!$A$1:$D$94</definedName>
    <definedName name="_xlnm.Print_Area" localSheetId="5">Planning!$A$1:$D$77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7" i="159" l="1"/>
  <c r="B25" i="159"/>
  <c r="B23" i="159"/>
  <c r="B21" i="159"/>
  <c r="B19" i="159"/>
  <c r="B17" i="159"/>
  <c r="B15" i="159"/>
  <c r="B13" i="159"/>
  <c r="B11" i="159"/>
  <c r="B9" i="159"/>
  <c r="B7" i="159"/>
  <c r="B5" i="159"/>
  <c r="C30" i="159"/>
  <c r="C29" i="159"/>
  <c r="B93" i="156" l="1"/>
  <c r="B74" i="156"/>
  <c r="B55" i="156"/>
  <c r="B34" i="156"/>
  <c r="B76" i="155"/>
  <c r="B63" i="155"/>
  <c r="B40" i="155"/>
  <c r="B18" i="155"/>
  <c r="B18" i="154" l="1"/>
  <c r="B13" i="11"/>
</calcChain>
</file>

<file path=xl/sharedStrings.xml><?xml version="1.0" encoding="utf-8"?>
<sst xmlns="http://schemas.openxmlformats.org/spreadsheetml/2006/main" count="327" uniqueCount="135">
  <si>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</si>
  <si>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</si>
  <si>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</si>
  <si>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</si>
  <si>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</si>
  <si>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</si>
  <si>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</si>
  <si>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</si>
  <si>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</si>
  <si>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</si>
  <si>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</si>
  <si>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</si>
  <si>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</si>
  <si>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</si>
  <si>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</si>
  <si>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</si>
  <si>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</si>
  <si>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</si>
  <si>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</si>
  <si>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</si>
  <si>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</si>
  <si>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</si>
  <si>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</si>
  <si>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</si>
  <si>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Demomot</t>
  </si>
  <si>
    <t>Jonathan Mayor</t>
  </si>
  <si>
    <t>CIN2a</t>
  </si>
  <si>
    <t>ETML</t>
  </si>
  <si>
    <t>JDT - Documentation</t>
  </si>
  <si>
    <t xml:space="preserve">Création Théorie </t>
  </si>
  <si>
    <t>Création Présentation</t>
  </si>
  <si>
    <t>Création exercice</t>
  </si>
  <si>
    <t>Création évaluation</t>
  </si>
  <si>
    <t>Création corriger</t>
  </si>
  <si>
    <t xml:space="preserve">Compéhension du sujet </t>
  </si>
  <si>
    <t>Libre</t>
  </si>
  <si>
    <t>Max. 90</t>
  </si>
  <si>
    <t>STOP</t>
  </si>
  <si>
    <t>S 1</t>
  </si>
  <si>
    <t>S 2</t>
  </si>
  <si>
    <t>S 3</t>
  </si>
  <si>
    <t>S 4</t>
  </si>
  <si>
    <t>Git</t>
  </si>
  <si>
    <t xml:space="preserve">Création du cahier des charges </t>
  </si>
  <si>
    <t>Création du dépôt</t>
  </si>
  <si>
    <t>Création d'un document sur la théorie du MVC</t>
  </si>
  <si>
    <t>Création de la présentation sur le MVC</t>
  </si>
  <si>
    <t>Création de différents exercices concernant le MVC</t>
  </si>
  <si>
    <t xml:space="preserve">Création d'un fichier de correction pour ces exercices </t>
  </si>
  <si>
    <t xml:space="preserve">Création d'un test formatif </t>
  </si>
  <si>
    <t>Création d'un corriger pour l'évaluation au dessus</t>
  </si>
  <si>
    <t>Séance de classe</t>
  </si>
  <si>
    <t>Temps libre au cas ou</t>
  </si>
  <si>
    <t xml:space="preserve">Recherche d'information sur le MVC pour pouvoir l'expliquer </t>
  </si>
  <si>
    <t>Organisation des rangements</t>
  </si>
  <si>
    <t xml:space="preserve">recherche d'informations sur l'internationalisation </t>
  </si>
  <si>
    <t xml:space="preserve">Création d'un document de théorie sur l'internationalisation </t>
  </si>
  <si>
    <t xml:space="preserve">Création d'un document de présentation sur l'internationalisation </t>
  </si>
  <si>
    <t>Création du cahier des charges</t>
  </si>
  <si>
    <t>Mise en place d'un dépôt GitHub et clonage du dépôt avec Git-Kraken</t>
  </si>
  <si>
    <t>..\CDC\Cahier des charges pour DemoMot.pdf</t>
  </si>
  <si>
    <t>..\..\Demomot</t>
  </si>
  <si>
    <t xml:space="preserve">Création de la planification pour les différentes semaines </t>
  </si>
  <si>
    <t>Pas fini -&gt; A faire : semaine 2-4</t>
  </si>
  <si>
    <t xml:space="preserve">JDT - Mise à jour </t>
  </si>
  <si>
    <t>LUNDI (24)</t>
  </si>
  <si>
    <t>MARDI (12)</t>
  </si>
  <si>
    <t>MERCREDI (27)</t>
  </si>
  <si>
    <t>VENDREDI (27)</t>
  </si>
  <si>
    <t>LUNDI (24, nbs de quart d'heure)</t>
  </si>
  <si>
    <t>Création d'exercies sur l'internationalisation</t>
  </si>
  <si>
    <t xml:space="preserve">Création des corriger  pour les exercices en dessus </t>
  </si>
  <si>
    <t>Création de l'évaluation pour l'internationalisation</t>
  </si>
  <si>
    <t>Création du corriger pour l'internationalisation</t>
  </si>
  <si>
    <t>recherche d'informations sur les Regex</t>
  </si>
  <si>
    <t>Création d'un document théorique sur les regex</t>
  </si>
  <si>
    <t>Création de la présentation pour les Regex</t>
  </si>
  <si>
    <t>Création d'exercies sur les Regex</t>
  </si>
  <si>
    <t xml:space="preserve">Pentecote </t>
  </si>
  <si>
    <t>Libre en cas de retard/absence</t>
  </si>
  <si>
    <t>Création de l'évaluation pour les Regex</t>
  </si>
  <si>
    <t xml:space="preserve">Création du corriger pour l'évaluation </t>
  </si>
  <si>
    <t>Création de la présentation pour les Guides Lines</t>
  </si>
  <si>
    <t>Création d'un support sur les Guides Lines</t>
  </si>
  <si>
    <t>Recherche sur les Guides Lines</t>
  </si>
  <si>
    <t>Création d'exercices sur les Guides Lines</t>
  </si>
  <si>
    <t xml:space="preserve">Créaition de corriger pour les guides lines </t>
  </si>
  <si>
    <t>Création d'une évaluation sur les Guides Lines</t>
  </si>
  <si>
    <t xml:space="preserve">Création de l'évaluation finale regroupent tous les sujets </t>
  </si>
  <si>
    <t>Création du corriger de l'évaluation finale</t>
  </si>
  <si>
    <t xml:space="preserve">Correction orthographe </t>
  </si>
  <si>
    <t>Correction des fautes d'orthographes sur tout</t>
  </si>
  <si>
    <t>Libre en cas de besoins</t>
  </si>
  <si>
    <t>Création des présentations pour la fin</t>
  </si>
  <si>
    <t>Présentation</t>
  </si>
  <si>
    <t xml:space="preserve">Présentation </t>
  </si>
  <si>
    <t>Rangement des classes</t>
  </si>
  <si>
    <t>VACANCES</t>
  </si>
  <si>
    <t>Fin de la planification + Mise à jour JDT</t>
  </si>
  <si>
    <t>Création du support théorique (Word) -&gt; Pas fini</t>
  </si>
  <si>
    <t>Code C#</t>
  </si>
  <si>
    <t>..\MVC\MVC.docx</t>
  </si>
  <si>
    <t>Création d'exemple en C# pour le support théorique (pas fini)</t>
  </si>
  <si>
    <t>Création d'exemple en C# pour le support théorique (fini)</t>
  </si>
  <si>
    <t>Correction des fautes d'orthographes dans le document Word (fini)</t>
  </si>
  <si>
    <t>Modification : ajout d'une méthode pour avoir le longeur du tableau (Modele.cs lignes 55-62)</t>
  </si>
  <si>
    <t>Suite du support Word : ajout "MVC ce n'est pas ça, Modèle, Vue, Contructeur"</t>
  </si>
  <si>
    <t>Création de la présentation pour le MVC</t>
  </si>
  <si>
    <t>..\MVC\MVC.pptm</t>
  </si>
  <si>
    <t>Création d'exercices sur le MVC</t>
  </si>
  <si>
    <t>Création de l'évaluation (Word)</t>
  </si>
  <si>
    <t>..\MVC\evaluation\evaluationMVC.docx</t>
  </si>
  <si>
    <t>Création du corriger de l'évaluation (C#) /!\PAS FINI/!\</t>
  </si>
  <si>
    <t>Création du corriger de l'évaluation (C#) FINI</t>
  </si>
  <si>
    <t>Modification : ajout d'une structure, et de questions ouvertes (Word)</t>
  </si>
  <si>
    <t xml:space="preserve">Modification : Commentaire dans chaques slides pour que quelqu'un qui ne connait pas le sujet puisse présenté quand même </t>
  </si>
  <si>
    <t>Modification : ajout d'une arborescence
Ajout : - des exercies 1-3
             - reprise d'un exercie Gui pour l'exercie 3</t>
  </si>
  <si>
    <t>..\MVC\exercices\exercice 3\exercice 3 - Corriger</t>
  </si>
  <si>
    <t>Création du corrigé  pour l'exercie 3  /!\PAS FINI/!\</t>
  </si>
  <si>
    <t>..\MVC\exercices\Exercices.docx</t>
  </si>
  <si>
    <t>Continuation du corrigé de l'exercie 3 : Bug avec la vue, je ne comprends pas ce que c'est. Ligne 17 Objet Vue</t>
  </si>
  <si>
    <t>..\MVC\exercices\exercice 3\exercice 3 - Corriger\StateMachineGUI.sln</t>
  </si>
  <si>
    <t>..\MVC\exercices\exercice 2\Corriger exercice 2\X-403-mayorjo-Listedeclasse.sln</t>
  </si>
  <si>
    <t>..\MVC\evaluation\evaluation - Corriger\Croix.sln</t>
  </si>
  <si>
    <t>Bug corrigé : Problème d'Accessibilité corrgée grâce à la mise en place de public au début des classes</t>
  </si>
  <si>
    <t xml:space="preserve">Nouveau Bug : Problème avec l'appel des méthode sur les différentes classe --&gt; Remise à zéro du code </t>
  </si>
  <si>
    <t>Essaie d'une nouvelle méthode MVC avec succès (Non-fini)</t>
  </si>
  <si>
    <t>JDT - Mise à jour</t>
  </si>
  <si>
    <t>..\MVC\exercices\exercice 3\exercice 3 - Correction\StateMachineGUI.sln</t>
  </si>
  <si>
    <t>dossier supprimer pour recommencer à zéro</t>
  </si>
  <si>
    <t>pentecôte</t>
  </si>
  <si>
    <t xml:space="preserve">Fin de la tâche de la ligne 43 </t>
  </si>
  <si>
    <t xml:space="preserve">Création d'une marche à suivre pour le MVC GUI pour que les élèves n'aient pas trop de difficultés </t>
  </si>
  <si>
    <t>Création de la théorie pour l'internationalisation /!\PAS FINI/!\</t>
  </si>
  <si>
    <t>..\INTERNATIONALISATION\Internationalisation.docx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</si>
</sst>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2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name val="Century Gothic"/>
      <family val="2"/>
      <scheme val="major"/>
    </font>
    <font>
      <sz val="20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34998626667073579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5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0" fillId="0" borderId="20" xfId="1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0" xfId="0" applyFont="1" applyFill="1" applyBorder="1" applyAlignment="1" applyProtection="1">
      <alignment horizontal="left" vertical="top" wrapText="1"/>
      <protection locked="0"/>
    </xf>
    <xf numFmtId="0" fontId="10" fillId="0" borderId="47" xfId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left" vertical="top" wrapText="1"/>
      <protection locked="0"/>
    </xf>
    <xf numFmtId="0" fontId="20" fillId="9" borderId="0" xfId="0" applyFont="1" applyFill="1"/>
    <xf numFmtId="0" fontId="8" fillId="3" borderId="20" xfId="0" applyFont="1" applyFill="1" applyBorder="1" applyAlignment="1" applyProtection="1">
      <alignment horizontal="center" vertical="center"/>
    </xf>
    <xf numFmtId="0" fontId="13" fillId="3" borderId="20" xfId="0" applyFont="1" applyFill="1" applyBorder="1" applyAlignment="1" applyProtection="1">
      <alignment horizontal="center" vertical="center" wrapText="1"/>
    </xf>
    <xf numFmtId="0" fontId="10" fillId="0" borderId="49" xfId="1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left" vertical="top" wrapText="1"/>
      <protection locked="0"/>
    </xf>
    <xf numFmtId="0" fontId="10" fillId="0" borderId="48" xfId="1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left" vertical="top" wrapText="1"/>
      <protection locked="0"/>
    </xf>
    <xf numFmtId="0" fontId="21" fillId="0" borderId="3" xfId="0" applyFont="1" applyFill="1" applyBorder="1" applyAlignment="1" applyProtection="1">
      <alignment horizontal="left" vertical="top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33" xfId="1" applyFill="1" applyBorder="1" applyAlignment="1" applyProtection="1">
      <alignment horizontal="left" vertical="top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left" vertical="top" wrapText="1"/>
      <protection locked="0"/>
    </xf>
    <xf numFmtId="0" fontId="10" fillId="16" borderId="1" xfId="1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center" vertical="center" wrapText="1"/>
      <protection locked="0"/>
    </xf>
    <xf numFmtId="0" fontId="10" fillId="16" borderId="1" xfId="0" applyFont="1" applyFill="1" applyBorder="1" applyAlignment="1" applyProtection="1">
      <alignment horizontal="left" vertical="top" wrapText="1"/>
      <protection locked="0"/>
    </xf>
    <xf numFmtId="0" fontId="10" fillId="16" borderId="2" xfId="1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center" vertical="center" wrapText="1"/>
      <protection locked="0"/>
    </xf>
    <xf numFmtId="0" fontId="10" fillId="16" borderId="50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left" vertical="top" wrapText="1"/>
      <protection locked="0"/>
    </xf>
    <xf numFmtId="0" fontId="10" fillId="16" borderId="2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center" vertical="center" wrapText="1"/>
      <protection locked="0"/>
    </xf>
    <xf numFmtId="0" fontId="10" fillId="16" borderId="33" xfId="0" applyFont="1" applyFill="1" applyBorder="1" applyAlignment="1" applyProtection="1">
      <alignment horizontal="left" vertical="top" wrapText="1"/>
      <protection locked="0"/>
    </xf>
    <xf numFmtId="0" fontId="2" fillId="16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\MVC\evaluation\evaluation%20-%20Corriger\Croix.sln" TargetMode="External"/><Relationship Id="rId13" Type="http://schemas.openxmlformats.org/officeDocument/2006/relationships/hyperlink" Target="..\MVC\exercices\Exercices.docx" TargetMode="External"/><Relationship Id="rId18" Type="http://schemas.openxmlformats.org/officeDocument/2006/relationships/hyperlink" Target="..\MVC\exercices\Exercices.docx" TargetMode="External"/><Relationship Id="rId3" Type="http://schemas.openxmlformats.org/officeDocument/2006/relationships/hyperlink" Target="..\MVC\MVC.docx" TargetMode="External"/><Relationship Id="rId21" Type="http://schemas.openxmlformats.org/officeDocument/2006/relationships/printerSettings" Target="../printerSettings/printerSettings5.bin"/><Relationship Id="rId7" Type="http://schemas.openxmlformats.org/officeDocument/2006/relationships/hyperlink" Target="..\MVC\evaluation\evaluationMVC.docx" TargetMode="External"/><Relationship Id="rId12" Type="http://schemas.openxmlformats.org/officeDocument/2006/relationships/hyperlink" Target="..\MVC\exercices\exercice%203\exercice%203%20-%20Corriger" TargetMode="External"/><Relationship Id="rId17" Type="http://schemas.openxmlformats.org/officeDocument/2006/relationships/hyperlink" Target="..\MVC\exercices\exercice%202\Corriger%20exercice%202\X-403-mayorjo-Listedeclasse.sln" TargetMode="External"/><Relationship Id="rId25" Type="http://schemas.openxmlformats.org/officeDocument/2006/relationships/image" Target="../media/image7.emf"/><Relationship Id="rId2" Type="http://schemas.openxmlformats.org/officeDocument/2006/relationships/hyperlink" Target="..\..\Demomot" TargetMode="External"/><Relationship Id="rId16" Type="http://schemas.openxmlformats.org/officeDocument/2006/relationships/hyperlink" Target="..\MVC\exercices\exercice%202\Corriger%20exercice%202\X-403-mayorjo-Listedeclasse.sln" TargetMode="External"/><Relationship Id="rId20" Type="http://schemas.openxmlformats.org/officeDocument/2006/relationships/hyperlink" Target="..\INTERNATIONALISATION\Internationalisation.docx" TargetMode="External"/><Relationship Id="rId1" Type="http://schemas.openxmlformats.org/officeDocument/2006/relationships/hyperlink" Target="..\CDC\Cahier%20des%20charges%20pour%20DemoMot.pdf" TargetMode="External"/><Relationship Id="rId6" Type="http://schemas.openxmlformats.org/officeDocument/2006/relationships/hyperlink" Target="..\MVC\MVC.pptm" TargetMode="External"/><Relationship Id="rId11" Type="http://schemas.openxmlformats.org/officeDocument/2006/relationships/hyperlink" Target="..\MVC\MVC.pptm" TargetMode="External"/><Relationship Id="rId24" Type="http://schemas.openxmlformats.org/officeDocument/2006/relationships/control" Target="../activeX/activeX7.xml"/><Relationship Id="rId5" Type="http://schemas.openxmlformats.org/officeDocument/2006/relationships/hyperlink" Target="..\MVC\MVC.docx" TargetMode="External"/><Relationship Id="rId15" Type="http://schemas.openxmlformats.org/officeDocument/2006/relationships/hyperlink" Target="..\MVC\exercices\exercice%202\Corriger%20exercice%202\X-403-mayorjo-Listedeclasse.sln" TargetMode="External"/><Relationship Id="rId23" Type="http://schemas.openxmlformats.org/officeDocument/2006/relationships/vmlDrawing" Target="../drawings/vmlDrawing5.vml"/><Relationship Id="rId10" Type="http://schemas.openxmlformats.org/officeDocument/2006/relationships/hyperlink" Target="..\MVC\evaluation\evaluationMVC.docx" TargetMode="External"/><Relationship Id="rId19" Type="http://schemas.openxmlformats.org/officeDocument/2006/relationships/hyperlink" Target="..\MVC\exercices\Exercices.docx" TargetMode="External"/><Relationship Id="rId4" Type="http://schemas.openxmlformats.org/officeDocument/2006/relationships/hyperlink" Target="..\MVC\MVC.docx" TargetMode="External"/><Relationship Id="rId9" Type="http://schemas.openxmlformats.org/officeDocument/2006/relationships/hyperlink" Target="..\MVC\evaluation\evaluation%20-%20Corriger\Croix.sln" TargetMode="External"/><Relationship Id="rId14" Type="http://schemas.openxmlformats.org/officeDocument/2006/relationships/hyperlink" Target="..\MVC\exercices\exercice%203\exercice%203%20-%20Corriger\StateMachineGUI.sln" TargetMode="External"/><Relationship Id="rId2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2" sqref="C3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44" t="s">
        <v>19</v>
      </c>
      <c r="C19" s="14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90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94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100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363" ht="13.5" thickBot="1" x14ac:dyDescent="0.25">
      <c r="B1" s="87"/>
      <c r="C1" s="87"/>
    </row>
    <row r="2" spans="1:363" ht="42.75" customHeight="1" thickBot="1" x14ac:dyDescent="0.25">
      <c r="A2" s="88"/>
      <c r="B2" s="45" t="s">
        <v>5</v>
      </c>
      <c r="C2" s="29" t="s">
        <v>18</v>
      </c>
      <c r="D2" s="146" t="s">
        <v>38</v>
      </c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7"/>
      <c r="AN2" s="147"/>
      <c r="AO2" s="147"/>
      <c r="AP2" s="147"/>
      <c r="AQ2" s="147"/>
      <c r="AR2" s="147"/>
      <c r="AS2" s="147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8"/>
      <c r="CP2" s="146" t="s">
        <v>39</v>
      </c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  <c r="FJ2" s="147"/>
      <c r="FK2" s="147"/>
      <c r="FL2" s="147"/>
      <c r="FM2" s="147"/>
      <c r="FN2" s="147"/>
      <c r="FO2" s="147"/>
      <c r="FP2" s="147"/>
      <c r="FQ2" s="147"/>
      <c r="FR2" s="147"/>
      <c r="FS2" s="147"/>
      <c r="FT2" s="147"/>
      <c r="FU2" s="147"/>
      <c r="FV2" s="147"/>
      <c r="FW2" s="147"/>
      <c r="FX2" s="147"/>
      <c r="FY2" s="147"/>
      <c r="FZ2" s="147"/>
      <c r="GA2" s="148"/>
      <c r="GB2" s="146" t="s">
        <v>40</v>
      </c>
      <c r="GC2" s="147"/>
      <c r="GD2" s="147"/>
      <c r="GE2" s="147"/>
      <c r="GF2" s="147"/>
      <c r="GG2" s="147"/>
      <c r="GH2" s="147"/>
      <c r="GI2" s="147"/>
      <c r="GJ2" s="147"/>
      <c r="GK2" s="147"/>
      <c r="GL2" s="147"/>
      <c r="GM2" s="147"/>
      <c r="GN2" s="147"/>
      <c r="GO2" s="147"/>
      <c r="GP2" s="147"/>
      <c r="GQ2" s="147"/>
      <c r="GR2" s="147"/>
      <c r="GS2" s="147"/>
      <c r="GT2" s="147"/>
      <c r="GU2" s="147"/>
      <c r="GV2" s="147"/>
      <c r="GW2" s="147"/>
      <c r="GX2" s="147"/>
      <c r="GY2" s="147"/>
      <c r="GZ2" s="147"/>
      <c r="HA2" s="147"/>
      <c r="HB2" s="147"/>
      <c r="HC2" s="147"/>
      <c r="HD2" s="147"/>
      <c r="HE2" s="147"/>
      <c r="HF2" s="147"/>
      <c r="HG2" s="147"/>
      <c r="HH2" s="147"/>
      <c r="HI2" s="147"/>
      <c r="HJ2" s="147"/>
      <c r="HK2" s="147"/>
      <c r="HL2" s="147"/>
      <c r="HM2" s="147"/>
      <c r="HN2" s="147"/>
      <c r="HO2" s="147"/>
      <c r="HP2" s="147"/>
      <c r="HQ2" s="147"/>
      <c r="HR2" s="147"/>
      <c r="HS2" s="147"/>
      <c r="HT2" s="147"/>
      <c r="HU2" s="147"/>
      <c r="HV2" s="147"/>
      <c r="HW2" s="147"/>
      <c r="HX2" s="147"/>
      <c r="HY2" s="147"/>
      <c r="HZ2" s="147"/>
      <c r="IA2" s="147"/>
      <c r="IB2" s="147"/>
      <c r="IC2" s="147"/>
      <c r="ID2" s="147"/>
      <c r="IE2" s="147"/>
      <c r="IF2" s="147"/>
      <c r="IG2" s="147"/>
      <c r="IH2" s="147"/>
      <c r="II2" s="147"/>
      <c r="IJ2" s="147"/>
      <c r="IK2" s="147"/>
      <c r="IL2" s="147"/>
      <c r="IM2" s="147"/>
      <c r="IN2" s="147"/>
      <c r="IO2" s="147"/>
      <c r="IP2" s="147"/>
      <c r="IQ2" s="147"/>
      <c r="IR2" s="147"/>
      <c r="IS2" s="147"/>
      <c r="IT2" s="147"/>
      <c r="IU2" s="147"/>
      <c r="IV2" s="147"/>
      <c r="IW2" s="147"/>
      <c r="IX2" s="147"/>
      <c r="IY2" s="147"/>
      <c r="IZ2" s="147"/>
      <c r="JA2" s="147"/>
      <c r="JB2" s="147"/>
      <c r="JC2" s="147"/>
      <c r="JD2" s="147"/>
      <c r="JE2" s="147"/>
      <c r="JF2" s="147"/>
      <c r="JG2" s="147"/>
      <c r="JH2" s="147"/>
      <c r="JI2" s="147"/>
      <c r="JJ2" s="147"/>
      <c r="JK2" s="147"/>
      <c r="JL2" s="147"/>
      <c r="JM2" s="148"/>
      <c r="JN2" s="146" t="s">
        <v>41</v>
      </c>
      <c r="JO2" s="147"/>
      <c r="JP2" s="147"/>
      <c r="JQ2" s="147"/>
      <c r="JR2" s="147"/>
      <c r="JS2" s="147"/>
      <c r="JT2" s="147"/>
      <c r="JU2" s="147"/>
      <c r="JV2" s="147"/>
      <c r="JW2" s="147"/>
      <c r="JX2" s="147"/>
      <c r="JY2" s="147"/>
      <c r="JZ2" s="147"/>
      <c r="KA2" s="147"/>
      <c r="KB2" s="147"/>
      <c r="KC2" s="147"/>
      <c r="KD2" s="147"/>
      <c r="KE2" s="147"/>
      <c r="KF2" s="147"/>
      <c r="KG2" s="147"/>
      <c r="KH2" s="147"/>
      <c r="KI2" s="147"/>
      <c r="KJ2" s="147"/>
      <c r="KK2" s="147"/>
      <c r="KL2" s="147"/>
      <c r="KM2" s="147"/>
      <c r="KN2" s="147"/>
      <c r="KO2" s="147"/>
      <c r="KP2" s="147"/>
      <c r="KQ2" s="147"/>
      <c r="KR2" s="147"/>
      <c r="KS2" s="147"/>
      <c r="KT2" s="147"/>
      <c r="KU2" s="147"/>
      <c r="KV2" s="147"/>
      <c r="KW2" s="147"/>
      <c r="KX2" s="147"/>
      <c r="KY2" s="147"/>
      <c r="KZ2" s="147"/>
      <c r="LA2" s="147"/>
      <c r="LB2" s="147"/>
      <c r="LC2" s="147"/>
      <c r="LD2" s="147"/>
      <c r="LE2" s="147"/>
      <c r="LF2" s="147"/>
      <c r="LG2" s="147"/>
      <c r="LH2" s="147"/>
      <c r="LI2" s="147"/>
      <c r="LJ2" s="147"/>
      <c r="LK2" s="147"/>
      <c r="LL2" s="147"/>
      <c r="LM2" s="147"/>
      <c r="LN2" s="147"/>
      <c r="LO2" s="147"/>
      <c r="LP2" s="147"/>
      <c r="LQ2" s="147"/>
      <c r="LR2" s="147"/>
      <c r="LS2" s="147"/>
      <c r="LT2" s="147"/>
      <c r="LU2" s="147"/>
      <c r="LV2" s="147"/>
      <c r="LW2" s="147"/>
      <c r="LX2" s="147"/>
      <c r="LY2" s="147"/>
      <c r="LZ2" s="147"/>
      <c r="MA2" s="147"/>
      <c r="MB2" s="147"/>
      <c r="MC2" s="147"/>
      <c r="MD2" s="147"/>
      <c r="ME2" s="147"/>
      <c r="MF2" s="147"/>
      <c r="MG2" s="147"/>
      <c r="MH2" s="147"/>
      <c r="MI2" s="147"/>
      <c r="MJ2" s="147"/>
      <c r="MK2" s="147"/>
      <c r="ML2" s="147"/>
      <c r="MM2" s="147"/>
      <c r="MN2" s="147"/>
      <c r="MO2" s="147"/>
      <c r="MP2" s="147"/>
      <c r="MQ2" s="147"/>
      <c r="MR2" s="147"/>
      <c r="MS2" s="147"/>
      <c r="MT2" s="147"/>
      <c r="MU2" s="147"/>
      <c r="MV2" s="147"/>
      <c r="MW2" s="147"/>
      <c r="MX2" s="147"/>
      <c r="MY2" s="148"/>
    </row>
    <row r="3" spans="1:363" ht="19.5" customHeight="1" x14ac:dyDescent="0.2">
      <c r="A3" s="88"/>
      <c r="B3" s="151" t="s">
        <v>21</v>
      </c>
      <c r="C3" s="30">
        <v>78</v>
      </c>
      <c r="D3" s="89"/>
      <c r="E3" s="90"/>
      <c r="F3" s="91"/>
      <c r="G3" s="92"/>
      <c r="H3" s="90"/>
      <c r="I3" s="91"/>
      <c r="J3" s="92"/>
      <c r="K3" s="90"/>
      <c r="L3" s="91"/>
      <c r="M3" s="92"/>
      <c r="N3" s="90"/>
      <c r="O3" s="91"/>
      <c r="P3" s="92"/>
      <c r="Q3" s="90"/>
      <c r="R3" s="91"/>
      <c r="S3" s="128"/>
      <c r="T3" s="126"/>
      <c r="U3" s="127"/>
      <c r="V3" s="92"/>
      <c r="W3" s="90"/>
      <c r="X3" s="91"/>
      <c r="Y3" s="92"/>
      <c r="Z3" s="90"/>
      <c r="AA3" s="91"/>
      <c r="AB3" s="92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1"/>
      <c r="AN3" s="92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1"/>
      <c r="AZ3" s="92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1"/>
      <c r="BL3" s="92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1"/>
      <c r="BX3" s="92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1"/>
      <c r="CJ3" s="92"/>
      <c r="CK3" s="90"/>
      <c r="CL3" s="91"/>
      <c r="CM3" s="92"/>
      <c r="CN3" s="90"/>
      <c r="CO3" s="93"/>
      <c r="CP3" s="125"/>
      <c r="CQ3" s="126"/>
      <c r="CR3" s="127"/>
      <c r="CS3" s="128"/>
      <c r="CT3" s="126"/>
      <c r="CU3" s="127"/>
      <c r="CV3" s="128"/>
      <c r="CW3" s="126"/>
      <c r="CX3" s="127"/>
      <c r="CY3" s="128"/>
      <c r="CZ3" s="126"/>
      <c r="DA3" s="127"/>
      <c r="DB3" s="128"/>
      <c r="DC3" s="126"/>
      <c r="DD3" s="127"/>
      <c r="DE3" s="128"/>
      <c r="DF3" s="126"/>
      <c r="DG3" s="127"/>
      <c r="DH3" s="128"/>
      <c r="DI3" s="126"/>
      <c r="DJ3" s="127"/>
      <c r="DK3" s="128"/>
      <c r="DL3" s="126"/>
      <c r="DM3" s="127"/>
      <c r="DN3" s="92"/>
      <c r="DO3" s="90"/>
      <c r="DP3" s="91"/>
      <c r="DQ3" s="92"/>
      <c r="DR3" s="90"/>
      <c r="DS3" s="91"/>
      <c r="DT3" s="92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1"/>
      <c r="EF3" s="92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1"/>
      <c r="ER3" s="92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1"/>
      <c r="FD3" s="92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1"/>
      <c r="FP3" s="92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1"/>
      <c r="GN3" s="92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1"/>
      <c r="GZ3" s="92"/>
      <c r="HA3" s="90"/>
      <c r="HB3" s="91"/>
      <c r="HC3" s="92"/>
      <c r="HD3" s="90"/>
      <c r="HE3" s="91"/>
      <c r="HF3" s="92"/>
      <c r="HG3" s="90"/>
      <c r="HH3" s="91"/>
      <c r="HI3" s="92"/>
      <c r="HJ3" s="90"/>
      <c r="HK3" s="91"/>
      <c r="HL3" s="92"/>
      <c r="HM3" s="90"/>
      <c r="HN3" s="91"/>
      <c r="HO3" s="92"/>
      <c r="HP3" s="90"/>
      <c r="HQ3" s="91"/>
      <c r="HR3" s="92"/>
      <c r="HS3" s="90"/>
      <c r="HT3" s="91"/>
      <c r="HU3" s="92"/>
      <c r="HV3" s="90"/>
      <c r="HW3" s="91"/>
      <c r="HX3" s="92"/>
      <c r="HY3" s="90"/>
      <c r="HZ3" s="91"/>
      <c r="IA3" s="92"/>
      <c r="IB3" s="90"/>
      <c r="IC3" s="91"/>
      <c r="ID3" s="92"/>
      <c r="IE3" s="90"/>
      <c r="IF3" s="91"/>
      <c r="IG3" s="92"/>
      <c r="IH3" s="90"/>
      <c r="II3" s="91"/>
      <c r="IJ3" s="92"/>
      <c r="IK3" s="90"/>
      <c r="IL3" s="91"/>
      <c r="IM3" s="92"/>
      <c r="IN3" s="90"/>
      <c r="IO3" s="91"/>
      <c r="IP3" s="92"/>
      <c r="IQ3" s="90"/>
      <c r="IR3" s="91"/>
      <c r="IS3" s="92"/>
      <c r="IT3" s="90"/>
      <c r="IU3" s="91"/>
      <c r="IV3" s="92"/>
      <c r="IW3" s="90"/>
      <c r="IX3" s="91"/>
      <c r="IY3" s="92"/>
      <c r="IZ3" s="90"/>
      <c r="JA3" s="91"/>
      <c r="JB3" s="92"/>
      <c r="JC3" s="90"/>
      <c r="JD3" s="91"/>
      <c r="JE3" s="92"/>
      <c r="JF3" s="90"/>
      <c r="JG3" s="91"/>
      <c r="JH3" s="92"/>
      <c r="JI3" s="90"/>
      <c r="JJ3" s="91"/>
      <c r="JK3" s="92"/>
      <c r="JL3" s="90"/>
      <c r="JM3" s="93"/>
      <c r="JN3" s="125"/>
      <c r="JO3" s="126"/>
      <c r="JP3" s="127"/>
      <c r="JQ3" s="128"/>
      <c r="JR3" s="126"/>
      <c r="JS3" s="127"/>
      <c r="JT3" s="128"/>
      <c r="JU3" s="126"/>
      <c r="JV3" s="127"/>
      <c r="JW3" s="128"/>
      <c r="JX3" s="126"/>
      <c r="JY3" s="127"/>
      <c r="JZ3" s="128"/>
      <c r="KA3" s="126"/>
      <c r="KB3" s="127"/>
      <c r="KC3" s="128"/>
      <c r="KD3" s="126"/>
      <c r="KE3" s="127"/>
      <c r="KF3" s="128"/>
      <c r="KG3" s="126"/>
      <c r="KH3" s="127"/>
      <c r="KI3" s="128"/>
      <c r="KJ3" s="126"/>
      <c r="KK3" s="127"/>
      <c r="KL3" s="92"/>
      <c r="KM3" s="90"/>
      <c r="KN3" s="91"/>
      <c r="KO3" s="92"/>
      <c r="KP3" s="90"/>
      <c r="KQ3" s="91"/>
      <c r="KR3" s="92"/>
      <c r="KS3" s="90"/>
      <c r="KT3" s="91"/>
      <c r="KU3" s="92"/>
      <c r="KV3" s="90"/>
      <c r="KW3" s="91"/>
      <c r="KX3" s="92"/>
      <c r="KY3" s="90"/>
      <c r="KZ3" s="91"/>
      <c r="LA3" s="92"/>
      <c r="LB3" s="90"/>
      <c r="LC3" s="91"/>
      <c r="LD3" s="92"/>
      <c r="LE3" s="90"/>
      <c r="LF3" s="91"/>
      <c r="LG3" s="92"/>
      <c r="LH3" s="90"/>
      <c r="LI3" s="91"/>
      <c r="LJ3" s="92"/>
      <c r="LK3" s="90"/>
      <c r="LL3" s="91"/>
      <c r="LM3" s="92"/>
      <c r="LN3" s="90"/>
      <c r="LO3" s="91"/>
      <c r="LP3" s="92"/>
      <c r="LQ3" s="90"/>
      <c r="LR3" s="91"/>
      <c r="LS3" s="92"/>
      <c r="LT3" s="90"/>
      <c r="LU3" s="91"/>
      <c r="LV3" s="92"/>
      <c r="LW3" s="90"/>
      <c r="LX3" s="91"/>
      <c r="LY3" s="128"/>
      <c r="LZ3" s="126"/>
      <c r="MA3" s="127"/>
      <c r="MB3" s="128"/>
      <c r="MC3" s="126"/>
      <c r="MD3" s="127"/>
      <c r="ME3" s="128"/>
      <c r="MF3" s="126"/>
      <c r="MG3" s="127"/>
      <c r="MH3" s="128"/>
      <c r="MI3" s="126"/>
      <c r="MJ3" s="127"/>
      <c r="MK3" s="128"/>
      <c r="ML3" s="126"/>
      <c r="MM3" s="127"/>
      <c r="MN3" s="128"/>
      <c r="MO3" s="126"/>
      <c r="MP3" s="127"/>
      <c r="MQ3" s="128"/>
      <c r="MR3" s="126"/>
      <c r="MS3" s="127"/>
      <c r="MT3" s="128"/>
      <c r="MU3" s="126"/>
      <c r="MV3" s="127"/>
      <c r="MW3" s="128"/>
      <c r="MX3" s="126"/>
      <c r="MY3" s="129"/>
    </row>
    <row r="4" spans="1:363" ht="19.5" customHeight="1" thickBot="1" x14ac:dyDescent="0.25">
      <c r="A4" s="88"/>
      <c r="B4" s="152"/>
      <c r="C4" s="44">
        <v>0</v>
      </c>
      <c r="D4" s="94"/>
      <c r="E4" s="95"/>
      <c r="F4" s="96"/>
      <c r="G4" s="97"/>
      <c r="H4" s="95"/>
      <c r="I4" s="96"/>
      <c r="J4" s="97"/>
      <c r="K4" s="95"/>
      <c r="L4" s="96"/>
      <c r="M4" s="97"/>
      <c r="N4" s="95"/>
      <c r="O4" s="96"/>
      <c r="P4" s="97"/>
      <c r="Q4" s="95"/>
      <c r="R4" s="96"/>
      <c r="S4" s="97"/>
      <c r="T4" s="95"/>
      <c r="U4" s="96"/>
      <c r="V4" s="97"/>
      <c r="W4" s="95"/>
      <c r="X4" s="96"/>
      <c r="Y4" s="97"/>
      <c r="Z4" s="95"/>
      <c r="AA4" s="96"/>
      <c r="AB4" s="97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6"/>
      <c r="AN4" s="97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6"/>
      <c r="AZ4" s="97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6"/>
      <c r="BL4" s="97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6"/>
      <c r="BX4" s="97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6"/>
      <c r="CJ4" s="97"/>
      <c r="CK4" s="95"/>
      <c r="CL4" s="96"/>
      <c r="CM4" s="97"/>
      <c r="CN4" s="95"/>
      <c r="CO4" s="98"/>
      <c r="CP4" s="94"/>
      <c r="CQ4" s="95"/>
      <c r="CR4" s="96"/>
      <c r="CS4" s="97"/>
      <c r="CT4" s="95"/>
      <c r="CU4" s="96"/>
      <c r="CV4" s="97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6"/>
      <c r="DH4" s="97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6"/>
      <c r="DT4" s="97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6"/>
      <c r="EF4" s="97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6"/>
      <c r="ER4" s="97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6"/>
      <c r="FD4" s="97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6"/>
      <c r="FP4" s="97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6"/>
      <c r="GN4" s="97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6"/>
      <c r="GZ4" s="97"/>
      <c r="HA4" s="95"/>
      <c r="HB4" s="96"/>
      <c r="HC4" s="97"/>
      <c r="HD4" s="95"/>
      <c r="HE4" s="96"/>
      <c r="HF4" s="97"/>
      <c r="HG4" s="95"/>
      <c r="HH4" s="96"/>
      <c r="HI4" s="97"/>
      <c r="HJ4" s="95"/>
      <c r="HK4" s="96"/>
      <c r="HL4" s="97"/>
      <c r="HM4" s="95"/>
      <c r="HN4" s="96"/>
      <c r="HO4" s="97"/>
      <c r="HP4" s="95"/>
      <c r="HQ4" s="96"/>
      <c r="HR4" s="97"/>
      <c r="HS4" s="95"/>
      <c r="HT4" s="96"/>
      <c r="HU4" s="97"/>
      <c r="HV4" s="95"/>
      <c r="HW4" s="96"/>
      <c r="HX4" s="97"/>
      <c r="HY4" s="95"/>
      <c r="HZ4" s="96"/>
      <c r="IA4" s="97"/>
      <c r="IB4" s="95"/>
      <c r="IC4" s="96"/>
      <c r="ID4" s="97"/>
      <c r="IE4" s="95"/>
      <c r="IF4" s="96"/>
      <c r="IG4" s="97"/>
      <c r="IH4" s="95"/>
      <c r="II4" s="96"/>
      <c r="IJ4" s="97"/>
      <c r="IK4" s="95"/>
      <c r="IL4" s="96"/>
      <c r="IM4" s="97"/>
      <c r="IN4" s="95"/>
      <c r="IO4" s="96"/>
      <c r="IP4" s="97"/>
      <c r="IQ4" s="95"/>
      <c r="IR4" s="96"/>
      <c r="IS4" s="97"/>
      <c r="IT4" s="95"/>
      <c r="IU4" s="96"/>
      <c r="IV4" s="97"/>
      <c r="IW4" s="95"/>
      <c r="IX4" s="96"/>
      <c r="IY4" s="97"/>
      <c r="IZ4" s="95"/>
      <c r="JA4" s="96"/>
      <c r="JB4" s="97"/>
      <c r="JC4" s="95"/>
      <c r="JD4" s="96"/>
      <c r="JE4" s="97"/>
      <c r="JF4" s="95"/>
      <c r="JG4" s="96"/>
      <c r="JH4" s="97"/>
      <c r="JI4" s="95"/>
      <c r="JJ4" s="96"/>
      <c r="JK4" s="97"/>
      <c r="JL4" s="95"/>
      <c r="JM4" s="98"/>
      <c r="JN4" s="94"/>
      <c r="JO4" s="95"/>
      <c r="JP4" s="96"/>
      <c r="JQ4" s="97"/>
      <c r="JR4" s="95"/>
      <c r="JS4" s="96"/>
      <c r="JT4" s="97"/>
      <c r="JU4" s="95"/>
      <c r="JV4" s="96"/>
      <c r="JW4" s="97"/>
      <c r="JX4" s="95"/>
      <c r="JY4" s="96"/>
      <c r="JZ4" s="97"/>
      <c r="KA4" s="95"/>
      <c r="KB4" s="96"/>
      <c r="KC4" s="97"/>
      <c r="KD4" s="95"/>
      <c r="KE4" s="96"/>
      <c r="KF4" s="97"/>
      <c r="KG4" s="95"/>
      <c r="KH4" s="96"/>
      <c r="KI4" s="97"/>
      <c r="KJ4" s="95"/>
      <c r="KK4" s="96"/>
      <c r="KL4" s="97"/>
      <c r="KM4" s="95"/>
      <c r="KN4" s="96"/>
      <c r="KO4" s="97"/>
      <c r="KP4" s="95"/>
      <c r="KQ4" s="96"/>
      <c r="KR4" s="97"/>
      <c r="KS4" s="95"/>
      <c r="KT4" s="96"/>
      <c r="KU4" s="97"/>
      <c r="KV4" s="95"/>
      <c r="KW4" s="96"/>
      <c r="KX4" s="97"/>
      <c r="KY4" s="95"/>
      <c r="KZ4" s="96"/>
      <c r="LA4" s="97"/>
      <c r="LB4" s="95"/>
      <c r="LC4" s="96"/>
      <c r="LD4" s="97"/>
      <c r="LE4" s="95"/>
      <c r="LF4" s="96"/>
      <c r="LG4" s="97"/>
      <c r="LH4" s="95"/>
      <c r="LI4" s="96"/>
      <c r="LJ4" s="97"/>
      <c r="LK4" s="95"/>
      <c r="LL4" s="96"/>
      <c r="LM4" s="97"/>
      <c r="LN4" s="95"/>
      <c r="LO4" s="96"/>
      <c r="LP4" s="97"/>
      <c r="LQ4" s="95"/>
      <c r="LR4" s="96"/>
      <c r="LS4" s="97"/>
      <c r="LT4" s="95"/>
      <c r="LU4" s="96"/>
      <c r="LV4" s="97"/>
      <c r="LW4" s="95"/>
      <c r="LX4" s="96"/>
      <c r="LY4" s="97"/>
      <c r="LZ4" s="95"/>
      <c r="MA4" s="96"/>
      <c r="MB4" s="97"/>
      <c r="MC4" s="95"/>
      <c r="MD4" s="96"/>
      <c r="ME4" s="97"/>
      <c r="MF4" s="95"/>
      <c r="MG4" s="96"/>
      <c r="MH4" s="97"/>
      <c r="MI4" s="95"/>
      <c r="MJ4" s="96"/>
      <c r="MK4" s="97"/>
      <c r="ML4" s="95"/>
      <c r="MM4" s="96"/>
      <c r="MN4" s="97"/>
      <c r="MO4" s="95"/>
      <c r="MP4" s="96"/>
      <c r="MQ4" s="97"/>
      <c r="MR4" s="95"/>
      <c r="MS4" s="96"/>
      <c r="MT4" s="97"/>
      <c r="MU4" s="95"/>
      <c r="MV4" s="96"/>
      <c r="MW4" s="97"/>
      <c r="MX4" s="95"/>
      <c r="MY4" s="98"/>
    </row>
    <row r="5" spans="1:363" ht="19.5" customHeight="1" x14ac:dyDescent="0.2">
      <c r="B5" s="153" t="str">
        <f>Donnees!$C$21</f>
        <v>JDT - Documentation</v>
      </c>
      <c r="C5" s="99">
        <v>15</v>
      </c>
      <c r="D5" s="125"/>
      <c r="E5" s="126"/>
      <c r="F5" s="127"/>
      <c r="G5" s="128"/>
      <c r="H5" s="126"/>
      <c r="I5" s="127"/>
      <c r="J5" s="128"/>
      <c r="K5" s="126"/>
      <c r="L5" s="127"/>
      <c r="M5" s="128"/>
      <c r="N5" s="126"/>
      <c r="O5" s="127"/>
      <c r="P5" s="128"/>
      <c r="Q5" s="126"/>
      <c r="R5" s="127"/>
      <c r="S5" s="92"/>
      <c r="T5" s="90"/>
      <c r="U5" s="91"/>
      <c r="V5" s="92"/>
      <c r="W5" s="90"/>
      <c r="X5" s="91"/>
      <c r="Y5" s="92"/>
      <c r="Z5" s="90"/>
      <c r="AA5" s="91"/>
      <c r="AB5" s="92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1"/>
      <c r="AN5" s="92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1"/>
      <c r="AZ5" s="92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1"/>
      <c r="BL5" s="92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1"/>
      <c r="BX5" s="92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1"/>
      <c r="CJ5" s="92"/>
      <c r="CK5" s="90"/>
      <c r="CL5" s="91"/>
      <c r="CM5" s="92"/>
      <c r="CN5" s="90"/>
      <c r="CO5" s="93"/>
      <c r="CP5" s="89"/>
      <c r="CQ5" s="90"/>
      <c r="CR5" s="91"/>
      <c r="CS5" s="92"/>
      <c r="CT5" s="90"/>
      <c r="CU5" s="91"/>
      <c r="CV5" s="92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1"/>
      <c r="DH5" s="92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1"/>
      <c r="DT5" s="92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1"/>
      <c r="EF5" s="92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1"/>
      <c r="ER5" s="92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1"/>
      <c r="FD5" s="92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1"/>
      <c r="FP5" s="92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1"/>
      <c r="GN5" s="92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1"/>
      <c r="GZ5" s="92"/>
      <c r="HA5" s="90"/>
      <c r="HB5" s="91"/>
      <c r="HC5" s="92"/>
      <c r="HD5" s="90"/>
      <c r="HE5" s="91"/>
      <c r="HF5" s="92"/>
      <c r="HG5" s="90"/>
      <c r="HH5" s="91"/>
      <c r="HI5" s="92"/>
      <c r="HJ5" s="90"/>
      <c r="HK5" s="91"/>
      <c r="HL5" s="92"/>
      <c r="HM5" s="90"/>
      <c r="HN5" s="91"/>
      <c r="HO5" s="92"/>
      <c r="HP5" s="90"/>
      <c r="HQ5" s="91"/>
      <c r="HR5" s="92"/>
      <c r="HS5" s="90"/>
      <c r="HT5" s="91"/>
      <c r="HU5" s="92"/>
      <c r="HV5" s="90"/>
      <c r="HW5" s="91"/>
      <c r="HX5" s="92"/>
      <c r="HY5" s="90"/>
      <c r="HZ5" s="91"/>
      <c r="IA5" s="92"/>
      <c r="IB5" s="90"/>
      <c r="IC5" s="91"/>
      <c r="ID5" s="92"/>
      <c r="IE5" s="90"/>
      <c r="IF5" s="91"/>
      <c r="IG5" s="92"/>
      <c r="IH5" s="90"/>
      <c r="II5" s="91"/>
      <c r="IJ5" s="92"/>
      <c r="IK5" s="90"/>
      <c r="IL5" s="91"/>
      <c r="IM5" s="92"/>
      <c r="IN5" s="90"/>
      <c r="IO5" s="91"/>
      <c r="IP5" s="92"/>
      <c r="IQ5" s="90"/>
      <c r="IR5" s="91"/>
      <c r="IS5" s="92"/>
      <c r="IT5" s="90"/>
      <c r="IU5" s="91"/>
      <c r="IV5" s="92"/>
      <c r="IW5" s="90"/>
      <c r="IX5" s="91"/>
      <c r="IY5" s="92"/>
      <c r="IZ5" s="90"/>
      <c r="JA5" s="91"/>
      <c r="JB5" s="92"/>
      <c r="JC5" s="90"/>
      <c r="JD5" s="91"/>
      <c r="JE5" s="92"/>
      <c r="JF5" s="90"/>
      <c r="JG5" s="91"/>
      <c r="JH5" s="92"/>
      <c r="JI5" s="90"/>
      <c r="JJ5" s="91"/>
      <c r="JK5" s="92"/>
      <c r="JL5" s="90"/>
      <c r="JM5" s="93"/>
      <c r="JN5" s="89"/>
      <c r="JO5" s="90"/>
      <c r="JP5" s="91"/>
      <c r="JQ5" s="92"/>
      <c r="JR5" s="90"/>
      <c r="JS5" s="91"/>
      <c r="JT5" s="92"/>
      <c r="JU5" s="90"/>
      <c r="JV5" s="91"/>
      <c r="JW5" s="92"/>
      <c r="JX5" s="90"/>
      <c r="JY5" s="91"/>
      <c r="JZ5" s="92"/>
      <c r="KA5" s="90"/>
      <c r="KB5" s="91"/>
      <c r="KC5" s="92"/>
      <c r="KD5" s="90"/>
      <c r="KE5" s="91"/>
      <c r="KF5" s="92"/>
      <c r="KG5" s="90"/>
      <c r="KH5" s="91"/>
      <c r="KI5" s="92"/>
      <c r="KJ5" s="90"/>
      <c r="KK5" s="91"/>
      <c r="KL5" s="92"/>
      <c r="KM5" s="90"/>
      <c r="KN5" s="91"/>
      <c r="KO5" s="92"/>
      <c r="KP5" s="90"/>
      <c r="KQ5" s="91"/>
      <c r="KR5" s="92"/>
      <c r="KS5" s="90"/>
      <c r="KT5" s="91"/>
      <c r="KU5" s="92"/>
      <c r="KV5" s="90"/>
      <c r="KW5" s="91"/>
      <c r="KX5" s="92"/>
      <c r="KY5" s="90"/>
      <c r="KZ5" s="91"/>
      <c r="LA5" s="92"/>
      <c r="LB5" s="90"/>
      <c r="LC5" s="91"/>
      <c r="LD5" s="92"/>
      <c r="LE5" s="90"/>
      <c r="LF5" s="91"/>
      <c r="LG5" s="92"/>
      <c r="LH5" s="90"/>
      <c r="LI5" s="91"/>
      <c r="LJ5" s="92"/>
      <c r="LK5" s="90"/>
      <c r="LL5" s="91"/>
      <c r="LM5" s="92"/>
      <c r="LN5" s="90"/>
      <c r="LO5" s="91"/>
      <c r="LP5" s="92"/>
      <c r="LQ5" s="90"/>
      <c r="LR5" s="91"/>
      <c r="LS5" s="92"/>
      <c r="LT5" s="90"/>
      <c r="LU5" s="91"/>
      <c r="LV5" s="92"/>
      <c r="LW5" s="90"/>
      <c r="LX5" s="91"/>
      <c r="LY5" s="92"/>
      <c r="LZ5" s="90"/>
      <c r="MA5" s="91"/>
      <c r="MB5" s="92"/>
      <c r="MC5" s="90"/>
      <c r="MD5" s="91"/>
      <c r="ME5" s="92"/>
      <c r="MF5" s="90"/>
      <c r="MG5" s="91"/>
      <c r="MH5" s="92"/>
      <c r="MI5" s="90"/>
      <c r="MJ5" s="91"/>
      <c r="MK5" s="92"/>
      <c r="ML5" s="90"/>
      <c r="MM5" s="91"/>
      <c r="MN5" s="92"/>
      <c r="MO5" s="90"/>
      <c r="MP5" s="91"/>
      <c r="MQ5" s="92"/>
      <c r="MR5" s="90"/>
      <c r="MS5" s="91"/>
      <c r="MT5" s="92"/>
      <c r="MU5" s="90"/>
      <c r="MV5" s="91"/>
      <c r="MW5" s="92"/>
      <c r="MX5" s="90"/>
      <c r="MY5" s="93"/>
    </row>
    <row r="6" spans="1:363" ht="19.5" customHeight="1" thickBot="1" x14ac:dyDescent="0.25">
      <c r="B6" s="150"/>
      <c r="C6" s="100">
        <v>0</v>
      </c>
      <c r="D6" s="94"/>
      <c r="E6" s="95"/>
      <c r="F6" s="96"/>
      <c r="G6" s="97"/>
      <c r="H6" s="95"/>
      <c r="I6" s="96"/>
      <c r="J6" s="97"/>
      <c r="K6" s="95"/>
      <c r="L6" s="96"/>
      <c r="M6" s="97"/>
      <c r="N6" s="95"/>
      <c r="O6" s="96"/>
      <c r="P6" s="97"/>
      <c r="Q6" s="95"/>
      <c r="R6" s="96"/>
      <c r="S6" s="97"/>
      <c r="T6" s="95"/>
      <c r="U6" s="96"/>
      <c r="V6" s="97"/>
      <c r="W6" s="95"/>
      <c r="X6" s="96"/>
      <c r="Y6" s="97"/>
      <c r="Z6" s="95"/>
      <c r="AA6" s="96"/>
      <c r="AB6" s="97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6"/>
      <c r="AN6" s="97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6"/>
      <c r="AZ6" s="97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6"/>
      <c r="BL6" s="97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6"/>
      <c r="BX6" s="97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6"/>
      <c r="CJ6" s="97"/>
      <c r="CK6" s="95"/>
      <c r="CL6" s="96"/>
      <c r="CM6" s="97"/>
      <c r="CN6" s="95"/>
      <c r="CO6" s="98"/>
      <c r="CP6" s="94"/>
      <c r="CQ6" s="95"/>
      <c r="CR6" s="96"/>
      <c r="CS6" s="97"/>
      <c r="CT6" s="95"/>
      <c r="CU6" s="96"/>
      <c r="CV6" s="97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6"/>
      <c r="DH6" s="97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6"/>
      <c r="DT6" s="97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6"/>
      <c r="EF6" s="97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6"/>
      <c r="ER6" s="97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6"/>
      <c r="FD6" s="97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6"/>
      <c r="FP6" s="97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6"/>
      <c r="GN6" s="97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6"/>
      <c r="GZ6" s="97"/>
      <c r="HA6" s="95"/>
      <c r="HB6" s="96"/>
      <c r="HC6" s="97"/>
      <c r="HD6" s="95"/>
      <c r="HE6" s="96"/>
      <c r="HF6" s="97"/>
      <c r="HG6" s="95"/>
      <c r="HH6" s="96"/>
      <c r="HI6" s="97"/>
      <c r="HJ6" s="95"/>
      <c r="HK6" s="96"/>
      <c r="HL6" s="97"/>
      <c r="HM6" s="95"/>
      <c r="HN6" s="96"/>
      <c r="HO6" s="97"/>
      <c r="HP6" s="95"/>
      <c r="HQ6" s="96"/>
      <c r="HR6" s="97"/>
      <c r="HS6" s="95"/>
      <c r="HT6" s="96"/>
      <c r="HU6" s="97"/>
      <c r="HV6" s="95"/>
      <c r="HW6" s="96"/>
      <c r="HX6" s="97"/>
      <c r="HY6" s="95"/>
      <c r="HZ6" s="96"/>
      <c r="IA6" s="97"/>
      <c r="IB6" s="95"/>
      <c r="IC6" s="96"/>
      <c r="ID6" s="97"/>
      <c r="IE6" s="95"/>
      <c r="IF6" s="96"/>
      <c r="IG6" s="97"/>
      <c r="IH6" s="95"/>
      <c r="II6" s="96"/>
      <c r="IJ6" s="97"/>
      <c r="IK6" s="95"/>
      <c r="IL6" s="96"/>
      <c r="IM6" s="97"/>
      <c r="IN6" s="95"/>
      <c r="IO6" s="96"/>
      <c r="IP6" s="97"/>
      <c r="IQ6" s="95"/>
      <c r="IR6" s="96"/>
      <c r="IS6" s="97"/>
      <c r="IT6" s="95"/>
      <c r="IU6" s="96"/>
      <c r="IV6" s="97"/>
      <c r="IW6" s="95"/>
      <c r="IX6" s="96"/>
      <c r="IY6" s="97"/>
      <c r="IZ6" s="95"/>
      <c r="JA6" s="96"/>
      <c r="JB6" s="97"/>
      <c r="JC6" s="95"/>
      <c r="JD6" s="96"/>
      <c r="JE6" s="97"/>
      <c r="JF6" s="95"/>
      <c r="JG6" s="96"/>
      <c r="JH6" s="97"/>
      <c r="JI6" s="95"/>
      <c r="JJ6" s="96"/>
      <c r="JK6" s="97"/>
      <c r="JL6" s="95"/>
      <c r="JM6" s="98"/>
      <c r="JN6" s="94"/>
      <c r="JO6" s="95"/>
      <c r="JP6" s="96"/>
      <c r="JQ6" s="97"/>
      <c r="JR6" s="95"/>
      <c r="JS6" s="96"/>
      <c r="JT6" s="97"/>
      <c r="JU6" s="95"/>
      <c r="JV6" s="96"/>
      <c r="JW6" s="97"/>
      <c r="JX6" s="95"/>
      <c r="JY6" s="96"/>
      <c r="JZ6" s="97"/>
      <c r="KA6" s="95"/>
      <c r="KB6" s="96"/>
      <c r="KC6" s="97"/>
      <c r="KD6" s="95"/>
      <c r="KE6" s="96"/>
      <c r="KF6" s="97"/>
      <c r="KG6" s="95"/>
      <c r="KH6" s="96"/>
      <c r="KI6" s="97"/>
      <c r="KJ6" s="95"/>
      <c r="KK6" s="96"/>
      <c r="KL6" s="97"/>
      <c r="KM6" s="95"/>
      <c r="KN6" s="96"/>
      <c r="KO6" s="97"/>
      <c r="KP6" s="95"/>
      <c r="KQ6" s="96"/>
      <c r="KR6" s="97"/>
      <c r="KS6" s="95"/>
      <c r="KT6" s="96"/>
      <c r="KU6" s="97"/>
      <c r="KV6" s="95"/>
      <c r="KW6" s="96"/>
      <c r="KX6" s="97"/>
      <c r="KY6" s="95"/>
      <c r="KZ6" s="96"/>
      <c r="LA6" s="97"/>
      <c r="LB6" s="95"/>
      <c r="LC6" s="96"/>
      <c r="LD6" s="97"/>
      <c r="LE6" s="95"/>
      <c r="LF6" s="96"/>
      <c r="LG6" s="97"/>
      <c r="LH6" s="95"/>
      <c r="LI6" s="96"/>
      <c r="LJ6" s="97"/>
      <c r="LK6" s="95"/>
      <c r="LL6" s="96"/>
      <c r="LM6" s="97"/>
      <c r="LN6" s="95"/>
      <c r="LO6" s="96"/>
      <c r="LP6" s="97"/>
      <c r="LQ6" s="95"/>
      <c r="LR6" s="96"/>
      <c r="LS6" s="97"/>
      <c r="LT6" s="95"/>
      <c r="LU6" s="96"/>
      <c r="LV6" s="97"/>
      <c r="LW6" s="95"/>
      <c r="LX6" s="96"/>
      <c r="LY6" s="97"/>
      <c r="LZ6" s="95"/>
      <c r="MA6" s="96"/>
      <c r="MB6" s="97"/>
      <c r="MC6" s="95"/>
      <c r="MD6" s="96"/>
      <c r="ME6" s="97"/>
      <c r="MF6" s="95"/>
      <c r="MG6" s="96"/>
      <c r="MH6" s="97"/>
      <c r="MI6" s="95"/>
      <c r="MJ6" s="96"/>
      <c r="MK6" s="97"/>
      <c r="ML6" s="95"/>
      <c r="MM6" s="96"/>
      <c r="MN6" s="97"/>
      <c r="MO6" s="95"/>
      <c r="MP6" s="96"/>
      <c r="MQ6" s="97"/>
      <c r="MR6" s="95"/>
      <c r="MS6" s="96"/>
      <c r="MT6" s="97"/>
      <c r="MU6" s="95"/>
      <c r="MV6" s="96"/>
      <c r="MW6" s="97"/>
      <c r="MX6" s="95"/>
      <c r="MY6" s="98"/>
    </row>
    <row r="7" spans="1:363" ht="19.5" customHeight="1" x14ac:dyDescent="0.2">
      <c r="B7" s="149" t="str">
        <f>Donnees!$C$22</f>
        <v xml:space="preserve">Création Théorie </v>
      </c>
      <c r="C7" s="99">
        <v>36</v>
      </c>
      <c r="D7" s="89"/>
      <c r="E7" s="90"/>
      <c r="F7" s="91"/>
      <c r="G7" s="92"/>
      <c r="H7" s="90"/>
      <c r="I7" s="91"/>
      <c r="J7" s="92"/>
      <c r="K7" s="90"/>
      <c r="L7" s="91"/>
      <c r="M7" s="92"/>
      <c r="N7" s="90"/>
      <c r="O7" s="91"/>
      <c r="P7" s="92"/>
      <c r="Q7" s="90"/>
      <c r="R7" s="91"/>
      <c r="S7" s="92"/>
      <c r="T7" s="90"/>
      <c r="U7" s="91"/>
      <c r="V7" s="92"/>
      <c r="W7" s="90"/>
      <c r="X7" s="91"/>
      <c r="Y7" s="92"/>
      <c r="Z7" s="90"/>
      <c r="AA7" s="91"/>
      <c r="AB7" s="128"/>
      <c r="AC7" s="126"/>
      <c r="AD7" s="127"/>
      <c r="AE7" s="128"/>
      <c r="AF7" s="126"/>
      <c r="AG7" s="127"/>
      <c r="AH7" s="128"/>
      <c r="AI7" s="126"/>
      <c r="AJ7" s="127"/>
      <c r="AK7" s="128"/>
      <c r="AL7" s="126"/>
      <c r="AM7" s="127"/>
      <c r="AN7" s="92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1"/>
      <c r="AZ7" s="92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1"/>
      <c r="BL7" s="92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1"/>
      <c r="BX7" s="92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1"/>
      <c r="CJ7" s="92"/>
      <c r="CK7" s="90"/>
      <c r="CL7" s="91"/>
      <c r="CM7" s="92"/>
      <c r="CN7" s="90"/>
      <c r="CO7" s="93"/>
      <c r="CP7" s="89"/>
      <c r="CQ7" s="90"/>
      <c r="CR7" s="91"/>
      <c r="CS7" s="92"/>
      <c r="CT7" s="90"/>
      <c r="CU7" s="91"/>
      <c r="CV7" s="92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1"/>
      <c r="DH7" s="92"/>
      <c r="DI7" s="90"/>
      <c r="DJ7" s="91"/>
      <c r="DK7" s="92"/>
      <c r="DL7" s="90"/>
      <c r="DM7" s="91"/>
      <c r="DN7" s="92"/>
      <c r="DO7" s="90"/>
      <c r="DP7" s="91"/>
      <c r="DQ7" s="128"/>
      <c r="DR7" s="126"/>
      <c r="DS7" s="127"/>
      <c r="DT7" s="128"/>
      <c r="DU7" s="126"/>
      <c r="DV7" s="127"/>
      <c r="DW7" s="128"/>
      <c r="DX7" s="126"/>
      <c r="DY7" s="127"/>
      <c r="DZ7" s="92"/>
      <c r="EA7" s="90"/>
      <c r="EB7" s="91"/>
      <c r="EC7" s="92"/>
      <c r="ED7" s="90"/>
      <c r="EE7" s="91"/>
      <c r="EF7" s="92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1"/>
      <c r="ER7" s="92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1"/>
      <c r="FD7" s="128"/>
      <c r="FE7" s="126"/>
      <c r="FF7" s="127"/>
      <c r="FG7" s="128"/>
      <c r="FH7" s="126"/>
      <c r="FI7" s="127"/>
      <c r="FJ7" s="128"/>
      <c r="FK7" s="126"/>
      <c r="FL7" s="127"/>
      <c r="FM7" s="92"/>
      <c r="FN7" s="90"/>
      <c r="FO7" s="91"/>
      <c r="FP7" s="92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1"/>
      <c r="GN7" s="92"/>
      <c r="GO7" s="90"/>
      <c r="GP7" s="91"/>
      <c r="GQ7" s="128"/>
      <c r="GR7" s="126"/>
      <c r="GS7" s="127"/>
      <c r="GT7" s="128"/>
      <c r="GU7" s="126"/>
      <c r="GV7" s="127"/>
      <c r="GW7" s="92"/>
      <c r="GX7" s="90"/>
      <c r="GY7" s="91"/>
      <c r="GZ7" s="92"/>
      <c r="HA7" s="90"/>
      <c r="HB7" s="91"/>
      <c r="HC7" s="92"/>
      <c r="HD7" s="90"/>
      <c r="HE7" s="91"/>
      <c r="HF7" s="92"/>
      <c r="HG7" s="90"/>
      <c r="HH7" s="91"/>
      <c r="HI7" s="92"/>
      <c r="HJ7" s="90"/>
      <c r="HK7" s="91"/>
      <c r="HL7" s="92"/>
      <c r="HM7" s="90"/>
      <c r="HN7" s="91"/>
      <c r="HO7" s="92"/>
      <c r="HP7" s="90"/>
      <c r="HQ7" s="91"/>
      <c r="HR7" s="92"/>
      <c r="HS7" s="90"/>
      <c r="HT7" s="91"/>
      <c r="HU7" s="92"/>
      <c r="HV7" s="90"/>
      <c r="HW7" s="91"/>
      <c r="HX7" s="92"/>
      <c r="HY7" s="90"/>
      <c r="HZ7" s="91"/>
      <c r="IA7" s="92"/>
      <c r="IB7" s="90"/>
      <c r="IC7" s="91"/>
      <c r="ID7" s="92"/>
      <c r="IE7" s="90"/>
      <c r="IF7" s="91"/>
      <c r="IG7" s="92"/>
      <c r="IH7" s="90"/>
      <c r="II7" s="91"/>
      <c r="IJ7" s="92"/>
      <c r="IK7" s="90"/>
      <c r="IL7" s="91"/>
      <c r="IM7" s="92"/>
      <c r="IN7" s="90"/>
      <c r="IO7" s="91"/>
      <c r="IP7" s="92"/>
      <c r="IQ7" s="90"/>
      <c r="IR7" s="91"/>
      <c r="IS7" s="92"/>
      <c r="IT7" s="90"/>
      <c r="IU7" s="91"/>
      <c r="IV7" s="92"/>
      <c r="IW7" s="90"/>
      <c r="IX7" s="91"/>
      <c r="IY7" s="92"/>
      <c r="IZ7" s="90"/>
      <c r="JA7" s="91"/>
      <c r="JB7" s="92"/>
      <c r="JC7" s="90"/>
      <c r="JD7" s="91"/>
      <c r="JE7" s="92"/>
      <c r="JF7" s="90"/>
      <c r="JG7" s="91"/>
      <c r="JH7" s="92"/>
      <c r="JI7" s="90"/>
      <c r="JJ7" s="91"/>
      <c r="JK7" s="92"/>
      <c r="JL7" s="90"/>
      <c r="JM7" s="93"/>
      <c r="JN7" s="89"/>
      <c r="JO7" s="90"/>
      <c r="JP7" s="91"/>
      <c r="JQ7" s="92"/>
      <c r="JR7" s="90"/>
      <c r="JS7" s="91"/>
      <c r="JT7" s="92"/>
      <c r="JU7" s="90"/>
      <c r="JV7" s="91"/>
      <c r="JW7" s="92"/>
      <c r="JX7" s="90"/>
      <c r="JY7" s="91"/>
      <c r="JZ7" s="92"/>
      <c r="KA7" s="90"/>
      <c r="KB7" s="91"/>
      <c r="KC7" s="92"/>
      <c r="KD7" s="90"/>
      <c r="KE7" s="91"/>
      <c r="KF7" s="92"/>
      <c r="KG7" s="90"/>
      <c r="KH7" s="91"/>
      <c r="KI7" s="92"/>
      <c r="KJ7" s="90"/>
      <c r="KK7" s="91"/>
      <c r="KL7" s="92"/>
      <c r="KM7" s="90"/>
      <c r="KN7" s="91"/>
      <c r="KO7" s="92"/>
      <c r="KP7" s="90"/>
      <c r="KQ7" s="91"/>
      <c r="KR7" s="92"/>
      <c r="KS7" s="90"/>
      <c r="KT7" s="91"/>
      <c r="KU7" s="92"/>
      <c r="KV7" s="90"/>
      <c r="KW7" s="91"/>
      <c r="KX7" s="92"/>
      <c r="KY7" s="90"/>
      <c r="KZ7" s="91"/>
      <c r="LA7" s="92"/>
      <c r="LB7" s="90"/>
      <c r="LC7" s="91"/>
      <c r="LD7" s="92"/>
      <c r="LE7" s="90"/>
      <c r="LF7" s="91"/>
      <c r="LG7" s="92"/>
      <c r="LH7" s="90"/>
      <c r="LI7" s="91"/>
      <c r="LJ7" s="92"/>
      <c r="LK7" s="90"/>
      <c r="LL7" s="91"/>
      <c r="LM7" s="92"/>
      <c r="LN7" s="90"/>
      <c r="LO7" s="91"/>
      <c r="LP7" s="92"/>
      <c r="LQ7" s="90"/>
      <c r="LR7" s="91"/>
      <c r="LS7" s="92"/>
      <c r="LT7" s="90"/>
      <c r="LU7" s="91"/>
      <c r="LV7" s="92"/>
      <c r="LW7" s="90"/>
      <c r="LX7" s="91"/>
      <c r="LY7" s="92"/>
      <c r="LZ7" s="90"/>
      <c r="MA7" s="91"/>
      <c r="MB7" s="92"/>
      <c r="MC7" s="90"/>
      <c r="MD7" s="91"/>
      <c r="ME7" s="92"/>
      <c r="MF7" s="90"/>
      <c r="MG7" s="91"/>
      <c r="MH7" s="92"/>
      <c r="MI7" s="90"/>
      <c r="MJ7" s="91"/>
      <c r="MK7" s="92"/>
      <c r="ML7" s="90"/>
      <c r="MM7" s="91"/>
      <c r="MN7" s="92"/>
      <c r="MO7" s="90"/>
      <c r="MP7" s="91"/>
      <c r="MQ7" s="92"/>
      <c r="MR7" s="90"/>
      <c r="MS7" s="91"/>
      <c r="MT7" s="92"/>
      <c r="MU7" s="90"/>
      <c r="MV7" s="91"/>
      <c r="MW7" s="92"/>
      <c r="MX7" s="90"/>
      <c r="MY7" s="93"/>
    </row>
    <row r="8" spans="1:363" ht="19.5" customHeight="1" thickBot="1" x14ac:dyDescent="0.25">
      <c r="B8" s="150"/>
      <c r="C8" s="100">
        <v>0</v>
      </c>
      <c r="D8" s="94"/>
      <c r="E8" s="95"/>
      <c r="F8" s="96"/>
      <c r="G8" s="97"/>
      <c r="H8" s="95"/>
      <c r="I8" s="96"/>
      <c r="J8" s="97"/>
      <c r="K8" s="95"/>
      <c r="L8" s="96"/>
      <c r="M8" s="97"/>
      <c r="N8" s="95"/>
      <c r="O8" s="96"/>
      <c r="P8" s="97"/>
      <c r="Q8" s="95"/>
      <c r="R8" s="96"/>
      <c r="S8" s="97"/>
      <c r="T8" s="95"/>
      <c r="U8" s="96"/>
      <c r="V8" s="97"/>
      <c r="W8" s="95"/>
      <c r="X8" s="96"/>
      <c r="Y8" s="97"/>
      <c r="Z8" s="95"/>
      <c r="AA8" s="96"/>
      <c r="AB8" s="97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6"/>
      <c r="AN8" s="97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6"/>
      <c r="AZ8" s="97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6"/>
      <c r="BL8" s="97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6"/>
      <c r="BX8" s="97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6"/>
      <c r="CJ8" s="97"/>
      <c r="CK8" s="95"/>
      <c r="CL8" s="96"/>
      <c r="CM8" s="97"/>
      <c r="CN8" s="95"/>
      <c r="CO8" s="98"/>
      <c r="CP8" s="94"/>
      <c r="CQ8" s="95"/>
      <c r="CR8" s="96"/>
      <c r="CS8" s="97"/>
      <c r="CT8" s="95"/>
      <c r="CU8" s="96"/>
      <c r="CV8" s="97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6"/>
      <c r="DH8" s="97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6"/>
      <c r="DT8" s="97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6"/>
      <c r="EF8" s="97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6"/>
      <c r="ER8" s="97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6"/>
      <c r="FD8" s="97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6"/>
      <c r="FP8" s="97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6"/>
      <c r="GN8" s="97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6"/>
      <c r="GZ8" s="97"/>
      <c r="HA8" s="95"/>
      <c r="HB8" s="96"/>
      <c r="HC8" s="97"/>
      <c r="HD8" s="95"/>
      <c r="HE8" s="96"/>
      <c r="HF8" s="97"/>
      <c r="HG8" s="95"/>
      <c r="HH8" s="96"/>
      <c r="HI8" s="97"/>
      <c r="HJ8" s="95"/>
      <c r="HK8" s="96"/>
      <c r="HL8" s="97"/>
      <c r="HM8" s="95"/>
      <c r="HN8" s="96"/>
      <c r="HO8" s="97"/>
      <c r="HP8" s="95"/>
      <c r="HQ8" s="96"/>
      <c r="HR8" s="97"/>
      <c r="HS8" s="95"/>
      <c r="HT8" s="96"/>
      <c r="HU8" s="97"/>
      <c r="HV8" s="95"/>
      <c r="HW8" s="96"/>
      <c r="HX8" s="97"/>
      <c r="HY8" s="95"/>
      <c r="HZ8" s="96"/>
      <c r="IA8" s="97"/>
      <c r="IB8" s="95"/>
      <c r="IC8" s="96"/>
      <c r="ID8" s="97"/>
      <c r="IE8" s="95"/>
      <c r="IF8" s="96"/>
      <c r="IG8" s="97"/>
      <c r="IH8" s="95"/>
      <c r="II8" s="96"/>
      <c r="IJ8" s="97"/>
      <c r="IK8" s="95"/>
      <c r="IL8" s="96"/>
      <c r="IM8" s="97"/>
      <c r="IN8" s="95"/>
      <c r="IO8" s="96"/>
      <c r="IP8" s="97"/>
      <c r="IQ8" s="95"/>
      <c r="IR8" s="96"/>
      <c r="IS8" s="97"/>
      <c r="IT8" s="95"/>
      <c r="IU8" s="96"/>
      <c r="IV8" s="97"/>
      <c r="IW8" s="95"/>
      <c r="IX8" s="96"/>
      <c r="IY8" s="97"/>
      <c r="IZ8" s="95"/>
      <c r="JA8" s="96"/>
      <c r="JB8" s="97"/>
      <c r="JC8" s="95"/>
      <c r="JD8" s="96"/>
      <c r="JE8" s="97"/>
      <c r="JF8" s="95"/>
      <c r="JG8" s="96"/>
      <c r="JH8" s="97"/>
      <c r="JI8" s="95"/>
      <c r="JJ8" s="96"/>
      <c r="JK8" s="97"/>
      <c r="JL8" s="95"/>
      <c r="JM8" s="98"/>
      <c r="JN8" s="94"/>
      <c r="JO8" s="95"/>
      <c r="JP8" s="96"/>
      <c r="JQ8" s="97"/>
      <c r="JR8" s="95"/>
      <c r="JS8" s="96"/>
      <c r="JT8" s="97"/>
      <c r="JU8" s="95"/>
      <c r="JV8" s="96"/>
      <c r="JW8" s="97"/>
      <c r="JX8" s="95"/>
      <c r="JY8" s="96"/>
      <c r="JZ8" s="97"/>
      <c r="KA8" s="95"/>
      <c r="KB8" s="96"/>
      <c r="KC8" s="97"/>
      <c r="KD8" s="95"/>
      <c r="KE8" s="96"/>
      <c r="KF8" s="97"/>
      <c r="KG8" s="95"/>
      <c r="KH8" s="96"/>
      <c r="KI8" s="97"/>
      <c r="KJ8" s="95"/>
      <c r="KK8" s="96"/>
      <c r="KL8" s="97"/>
      <c r="KM8" s="95"/>
      <c r="KN8" s="96"/>
      <c r="KO8" s="97"/>
      <c r="KP8" s="95"/>
      <c r="KQ8" s="96"/>
      <c r="KR8" s="97"/>
      <c r="KS8" s="95"/>
      <c r="KT8" s="96"/>
      <c r="KU8" s="97"/>
      <c r="KV8" s="95"/>
      <c r="KW8" s="96"/>
      <c r="KX8" s="97"/>
      <c r="KY8" s="95"/>
      <c r="KZ8" s="96"/>
      <c r="LA8" s="97"/>
      <c r="LB8" s="95"/>
      <c r="LC8" s="96"/>
      <c r="LD8" s="97"/>
      <c r="LE8" s="95"/>
      <c r="LF8" s="96"/>
      <c r="LG8" s="97"/>
      <c r="LH8" s="95"/>
      <c r="LI8" s="96"/>
      <c r="LJ8" s="97"/>
      <c r="LK8" s="95"/>
      <c r="LL8" s="96"/>
      <c r="LM8" s="97"/>
      <c r="LN8" s="95"/>
      <c r="LO8" s="96"/>
      <c r="LP8" s="97"/>
      <c r="LQ8" s="95"/>
      <c r="LR8" s="96"/>
      <c r="LS8" s="97"/>
      <c r="LT8" s="95"/>
      <c r="LU8" s="96"/>
      <c r="LV8" s="97"/>
      <c r="LW8" s="95"/>
      <c r="LX8" s="96"/>
      <c r="LY8" s="97"/>
      <c r="LZ8" s="95"/>
      <c r="MA8" s="96"/>
      <c r="MB8" s="97"/>
      <c r="MC8" s="95"/>
      <c r="MD8" s="96"/>
      <c r="ME8" s="97"/>
      <c r="MF8" s="95"/>
      <c r="MG8" s="96"/>
      <c r="MH8" s="97"/>
      <c r="MI8" s="95"/>
      <c r="MJ8" s="96"/>
      <c r="MK8" s="97"/>
      <c r="ML8" s="95"/>
      <c r="MM8" s="96"/>
      <c r="MN8" s="97"/>
      <c r="MO8" s="95"/>
      <c r="MP8" s="96"/>
      <c r="MQ8" s="97"/>
      <c r="MR8" s="95"/>
      <c r="MS8" s="96"/>
      <c r="MT8" s="97"/>
      <c r="MU8" s="95"/>
      <c r="MV8" s="96"/>
      <c r="MW8" s="97"/>
      <c r="MX8" s="95"/>
      <c r="MY8" s="98"/>
    </row>
    <row r="9" spans="1:363" ht="19.5" customHeight="1" x14ac:dyDescent="0.2">
      <c r="B9" s="149" t="str">
        <f>Donnees!$C$23</f>
        <v>Création Présentation</v>
      </c>
      <c r="C9" s="99">
        <v>36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1"/>
      <c r="P9" s="92"/>
      <c r="Q9" s="90"/>
      <c r="R9" s="91"/>
      <c r="S9" s="92"/>
      <c r="T9" s="90"/>
      <c r="U9" s="91"/>
      <c r="V9" s="92"/>
      <c r="W9" s="90"/>
      <c r="X9" s="91"/>
      <c r="Y9" s="92"/>
      <c r="Z9" s="90"/>
      <c r="AA9" s="91"/>
      <c r="AB9" s="92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1"/>
      <c r="AN9" s="128"/>
      <c r="AO9" s="126"/>
      <c r="AP9" s="127"/>
      <c r="AQ9" s="128"/>
      <c r="AR9" s="126"/>
      <c r="AS9" s="127"/>
      <c r="AT9" s="128"/>
      <c r="AU9" s="126"/>
      <c r="AV9" s="127"/>
      <c r="AW9" s="92"/>
      <c r="AX9" s="90"/>
      <c r="AY9" s="91"/>
      <c r="AZ9" s="92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1"/>
      <c r="BL9" s="92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1"/>
      <c r="BX9" s="92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1"/>
      <c r="CJ9" s="92"/>
      <c r="CK9" s="90"/>
      <c r="CL9" s="91"/>
      <c r="CM9" s="92"/>
      <c r="CN9" s="90"/>
      <c r="CO9" s="93"/>
      <c r="CP9" s="89"/>
      <c r="CQ9" s="90"/>
      <c r="CR9" s="91"/>
      <c r="CS9" s="92"/>
      <c r="CT9" s="90"/>
      <c r="CU9" s="91"/>
      <c r="CV9" s="92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1"/>
      <c r="DH9" s="92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1"/>
      <c r="DT9" s="92"/>
      <c r="DU9" s="90"/>
      <c r="DV9" s="91"/>
      <c r="DW9" s="92"/>
      <c r="DX9" s="90"/>
      <c r="DY9" s="91"/>
      <c r="DZ9" s="128"/>
      <c r="EA9" s="126"/>
      <c r="EB9" s="127"/>
      <c r="EC9" s="128"/>
      <c r="ED9" s="126"/>
      <c r="EE9" s="127"/>
      <c r="EF9" s="92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1"/>
      <c r="ER9" s="92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1"/>
      <c r="FD9" s="92"/>
      <c r="FE9" s="90"/>
      <c r="FF9" s="91"/>
      <c r="FG9" s="92"/>
      <c r="FH9" s="90"/>
      <c r="FI9" s="91"/>
      <c r="FJ9" s="92"/>
      <c r="FK9" s="90"/>
      <c r="FL9" s="91"/>
      <c r="FM9" s="128"/>
      <c r="FN9" s="126"/>
      <c r="FO9" s="127"/>
      <c r="FP9" s="128"/>
      <c r="FQ9" s="126"/>
      <c r="FR9" s="127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1"/>
      <c r="GN9" s="92"/>
      <c r="GO9" s="90"/>
      <c r="GP9" s="91"/>
      <c r="GQ9" s="92"/>
      <c r="GR9" s="90"/>
      <c r="GS9" s="91"/>
      <c r="GT9" s="92"/>
      <c r="GU9" s="90"/>
      <c r="GV9" s="91"/>
      <c r="GW9" s="128"/>
      <c r="GX9" s="126"/>
      <c r="GY9" s="127"/>
      <c r="GZ9" s="92"/>
      <c r="HA9" s="90"/>
      <c r="HB9" s="91"/>
      <c r="HC9" s="92"/>
      <c r="HD9" s="90"/>
      <c r="HE9" s="91"/>
      <c r="HF9" s="92"/>
      <c r="HG9" s="90"/>
      <c r="HH9" s="91"/>
      <c r="HI9" s="92"/>
      <c r="HJ9" s="90"/>
      <c r="HK9" s="91"/>
      <c r="HL9" s="92"/>
      <c r="HM9" s="90"/>
      <c r="HN9" s="91"/>
      <c r="HO9" s="92"/>
      <c r="HP9" s="90"/>
      <c r="HQ9" s="91"/>
      <c r="HR9" s="92"/>
      <c r="HS9" s="90"/>
      <c r="HT9" s="91"/>
      <c r="HU9" s="92"/>
      <c r="HV9" s="90"/>
      <c r="HW9" s="91"/>
      <c r="HX9" s="92"/>
      <c r="HY9" s="90"/>
      <c r="HZ9" s="91"/>
      <c r="IA9" s="92"/>
      <c r="IB9" s="90"/>
      <c r="IC9" s="91"/>
      <c r="ID9" s="92"/>
      <c r="IE9" s="90"/>
      <c r="IF9" s="91"/>
      <c r="IG9" s="92"/>
      <c r="IH9" s="90"/>
      <c r="II9" s="91"/>
      <c r="IJ9" s="92"/>
      <c r="IK9" s="90"/>
      <c r="IL9" s="91"/>
      <c r="IM9" s="92"/>
      <c r="IN9" s="90"/>
      <c r="IO9" s="91"/>
      <c r="IP9" s="92"/>
      <c r="IQ9" s="90"/>
      <c r="IR9" s="91"/>
      <c r="IS9" s="92"/>
      <c r="IT9" s="90"/>
      <c r="IU9" s="91"/>
      <c r="IV9" s="92"/>
      <c r="IW9" s="90"/>
      <c r="IX9" s="91"/>
      <c r="IY9" s="92"/>
      <c r="IZ9" s="90"/>
      <c r="JA9" s="91"/>
      <c r="JB9" s="92"/>
      <c r="JC9" s="90"/>
      <c r="JD9" s="91"/>
      <c r="JE9" s="92"/>
      <c r="JF9" s="90"/>
      <c r="JG9" s="91"/>
      <c r="JH9" s="92"/>
      <c r="JI9" s="90"/>
      <c r="JJ9" s="91"/>
      <c r="JK9" s="92"/>
      <c r="JL9" s="90"/>
      <c r="JM9" s="93"/>
      <c r="JN9" s="89"/>
      <c r="JO9" s="90"/>
      <c r="JP9" s="91"/>
      <c r="JQ9" s="92"/>
      <c r="JR9" s="90"/>
      <c r="JS9" s="91"/>
      <c r="JT9" s="92"/>
      <c r="JU9" s="90"/>
      <c r="JV9" s="91"/>
      <c r="JW9" s="92"/>
      <c r="JX9" s="90"/>
      <c r="JY9" s="91"/>
      <c r="JZ9" s="92"/>
      <c r="KA9" s="90"/>
      <c r="KB9" s="91"/>
      <c r="KC9" s="92"/>
      <c r="KD9" s="90"/>
      <c r="KE9" s="91"/>
      <c r="KF9" s="92"/>
      <c r="KG9" s="90"/>
      <c r="KH9" s="91"/>
      <c r="KI9" s="92"/>
      <c r="KJ9" s="90"/>
      <c r="KK9" s="91"/>
      <c r="KL9" s="128"/>
      <c r="KM9" s="126"/>
      <c r="KN9" s="127"/>
      <c r="KO9" s="128"/>
      <c r="KP9" s="126"/>
      <c r="KQ9" s="127"/>
      <c r="KR9" s="128"/>
      <c r="KS9" s="126"/>
      <c r="KT9" s="127"/>
      <c r="KU9" s="128"/>
      <c r="KV9" s="126"/>
      <c r="KW9" s="127"/>
      <c r="KX9" s="92"/>
      <c r="KY9" s="90"/>
      <c r="KZ9" s="91"/>
      <c r="LA9" s="92"/>
      <c r="LB9" s="90"/>
      <c r="LC9" s="91"/>
      <c r="LD9" s="92"/>
      <c r="LE9" s="90"/>
      <c r="LF9" s="91"/>
      <c r="LG9" s="92"/>
      <c r="LH9" s="90"/>
      <c r="LI9" s="91"/>
      <c r="LJ9" s="92"/>
      <c r="LK9" s="90"/>
      <c r="LL9" s="91"/>
      <c r="LM9" s="92"/>
      <c r="LN9" s="90"/>
      <c r="LO9" s="91"/>
      <c r="LP9" s="92"/>
      <c r="LQ9" s="90"/>
      <c r="LR9" s="91"/>
      <c r="LS9" s="92"/>
      <c r="LT9" s="90"/>
      <c r="LU9" s="91"/>
      <c r="LV9" s="92"/>
      <c r="LW9" s="90"/>
      <c r="LX9" s="91"/>
      <c r="LY9" s="92"/>
      <c r="LZ9" s="90"/>
      <c r="MA9" s="91"/>
      <c r="MB9" s="92"/>
      <c r="MC9" s="90"/>
      <c r="MD9" s="91"/>
      <c r="ME9" s="92"/>
      <c r="MF9" s="90"/>
      <c r="MG9" s="91"/>
      <c r="MH9" s="92"/>
      <c r="MI9" s="90"/>
      <c r="MJ9" s="91"/>
      <c r="MK9" s="92"/>
      <c r="ML9" s="90"/>
      <c r="MM9" s="91"/>
      <c r="MN9" s="92"/>
      <c r="MO9" s="90"/>
      <c r="MP9" s="91"/>
      <c r="MQ9" s="92"/>
      <c r="MR9" s="90"/>
      <c r="MS9" s="91"/>
      <c r="MT9" s="92"/>
      <c r="MU9" s="90"/>
      <c r="MV9" s="91"/>
      <c r="MW9" s="92"/>
      <c r="MX9" s="90"/>
      <c r="MY9" s="93"/>
    </row>
    <row r="10" spans="1:363" ht="19.5" customHeight="1" thickBot="1" x14ac:dyDescent="0.25">
      <c r="B10" s="150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6"/>
      <c r="P10" s="97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6"/>
      <c r="AB10" s="97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6"/>
      <c r="AN10" s="97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6"/>
      <c r="AZ10" s="97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6"/>
      <c r="BL10" s="97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6"/>
      <c r="BX10" s="97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6"/>
      <c r="CJ10" s="97"/>
      <c r="CK10" s="95"/>
      <c r="CL10" s="96"/>
      <c r="CM10" s="97"/>
      <c r="CN10" s="95"/>
      <c r="CO10" s="98"/>
      <c r="CP10" s="94"/>
      <c r="CQ10" s="95"/>
      <c r="CR10" s="96"/>
      <c r="CS10" s="97"/>
      <c r="CT10" s="95"/>
      <c r="CU10" s="96"/>
      <c r="CV10" s="97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6"/>
      <c r="DH10" s="97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6"/>
      <c r="DT10" s="97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6"/>
      <c r="EF10" s="97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6"/>
      <c r="ER10" s="97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6"/>
      <c r="FD10" s="97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6"/>
      <c r="FP10" s="97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6"/>
      <c r="GN10" s="97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6"/>
      <c r="GZ10" s="97"/>
      <c r="HA10" s="95"/>
      <c r="HB10" s="96"/>
      <c r="HC10" s="97"/>
      <c r="HD10" s="95"/>
      <c r="HE10" s="96"/>
      <c r="HF10" s="97"/>
      <c r="HG10" s="95"/>
      <c r="HH10" s="96"/>
      <c r="HI10" s="97"/>
      <c r="HJ10" s="95"/>
      <c r="HK10" s="96"/>
      <c r="HL10" s="97"/>
      <c r="HM10" s="95"/>
      <c r="HN10" s="96"/>
      <c r="HO10" s="97"/>
      <c r="HP10" s="95"/>
      <c r="HQ10" s="96"/>
      <c r="HR10" s="97"/>
      <c r="HS10" s="95"/>
      <c r="HT10" s="96"/>
      <c r="HU10" s="97"/>
      <c r="HV10" s="95"/>
      <c r="HW10" s="96"/>
      <c r="HX10" s="97"/>
      <c r="HY10" s="95"/>
      <c r="HZ10" s="96"/>
      <c r="IA10" s="97"/>
      <c r="IB10" s="95"/>
      <c r="IC10" s="96"/>
      <c r="ID10" s="97"/>
      <c r="IE10" s="95"/>
      <c r="IF10" s="96"/>
      <c r="IG10" s="97"/>
      <c r="IH10" s="95"/>
      <c r="II10" s="96"/>
      <c r="IJ10" s="97"/>
      <c r="IK10" s="95"/>
      <c r="IL10" s="96"/>
      <c r="IM10" s="97"/>
      <c r="IN10" s="95"/>
      <c r="IO10" s="96"/>
      <c r="IP10" s="97"/>
      <c r="IQ10" s="95"/>
      <c r="IR10" s="96"/>
      <c r="IS10" s="97"/>
      <c r="IT10" s="95"/>
      <c r="IU10" s="96"/>
      <c r="IV10" s="97"/>
      <c r="IW10" s="95"/>
      <c r="IX10" s="96"/>
      <c r="IY10" s="97"/>
      <c r="IZ10" s="95"/>
      <c r="JA10" s="96"/>
      <c r="JB10" s="97"/>
      <c r="JC10" s="95"/>
      <c r="JD10" s="96"/>
      <c r="JE10" s="97"/>
      <c r="JF10" s="95"/>
      <c r="JG10" s="96"/>
      <c r="JH10" s="97"/>
      <c r="JI10" s="95"/>
      <c r="JJ10" s="96"/>
      <c r="JK10" s="97"/>
      <c r="JL10" s="95"/>
      <c r="JM10" s="98"/>
      <c r="JN10" s="94"/>
      <c r="JO10" s="95"/>
      <c r="JP10" s="96"/>
      <c r="JQ10" s="97"/>
      <c r="JR10" s="95"/>
      <c r="JS10" s="96"/>
      <c r="JT10" s="97"/>
      <c r="JU10" s="95"/>
      <c r="JV10" s="96"/>
      <c r="JW10" s="97"/>
      <c r="JX10" s="95"/>
      <c r="JY10" s="96"/>
      <c r="JZ10" s="97"/>
      <c r="KA10" s="95"/>
      <c r="KB10" s="96"/>
      <c r="KC10" s="97"/>
      <c r="KD10" s="95"/>
      <c r="KE10" s="96"/>
      <c r="KF10" s="97"/>
      <c r="KG10" s="95"/>
      <c r="KH10" s="96"/>
      <c r="KI10" s="97"/>
      <c r="KJ10" s="95"/>
      <c r="KK10" s="96"/>
      <c r="KL10" s="97"/>
      <c r="KM10" s="95"/>
      <c r="KN10" s="96"/>
      <c r="KO10" s="97"/>
      <c r="KP10" s="95"/>
      <c r="KQ10" s="96"/>
      <c r="KR10" s="97"/>
      <c r="KS10" s="95"/>
      <c r="KT10" s="96"/>
      <c r="KU10" s="97"/>
      <c r="KV10" s="95"/>
      <c r="KW10" s="96"/>
      <c r="KX10" s="97"/>
      <c r="KY10" s="95"/>
      <c r="KZ10" s="96"/>
      <c r="LA10" s="97"/>
      <c r="LB10" s="95"/>
      <c r="LC10" s="96"/>
      <c r="LD10" s="97"/>
      <c r="LE10" s="95"/>
      <c r="LF10" s="96"/>
      <c r="LG10" s="97"/>
      <c r="LH10" s="95"/>
      <c r="LI10" s="96"/>
      <c r="LJ10" s="97"/>
      <c r="LK10" s="95"/>
      <c r="LL10" s="96"/>
      <c r="LM10" s="97"/>
      <c r="LN10" s="95"/>
      <c r="LO10" s="96"/>
      <c r="LP10" s="97"/>
      <c r="LQ10" s="95"/>
      <c r="LR10" s="96"/>
      <c r="LS10" s="97"/>
      <c r="LT10" s="95"/>
      <c r="LU10" s="96"/>
      <c r="LV10" s="97"/>
      <c r="LW10" s="95"/>
      <c r="LX10" s="96"/>
      <c r="LY10" s="97"/>
      <c r="LZ10" s="95"/>
      <c r="MA10" s="96"/>
      <c r="MB10" s="97"/>
      <c r="MC10" s="95"/>
      <c r="MD10" s="96"/>
      <c r="ME10" s="97"/>
      <c r="MF10" s="95"/>
      <c r="MG10" s="96"/>
      <c r="MH10" s="97"/>
      <c r="MI10" s="95"/>
      <c r="MJ10" s="96"/>
      <c r="MK10" s="97"/>
      <c r="ML10" s="95"/>
      <c r="MM10" s="96"/>
      <c r="MN10" s="97"/>
      <c r="MO10" s="95"/>
      <c r="MP10" s="96"/>
      <c r="MQ10" s="97"/>
      <c r="MR10" s="95"/>
      <c r="MS10" s="96"/>
      <c r="MT10" s="97"/>
      <c r="MU10" s="95"/>
      <c r="MV10" s="96"/>
      <c r="MW10" s="97"/>
      <c r="MX10" s="95"/>
      <c r="MY10" s="98"/>
    </row>
    <row r="11" spans="1:363" ht="19.5" customHeight="1" x14ac:dyDescent="0.2">
      <c r="B11" s="149" t="str">
        <f>Donnees!$C$24</f>
        <v>Création exercice</v>
      </c>
      <c r="C11" s="99">
        <v>30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1"/>
      <c r="P11" s="92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1"/>
      <c r="AB11" s="92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1"/>
      <c r="AN11" s="92"/>
      <c r="AO11" s="90"/>
      <c r="AP11" s="91"/>
      <c r="AQ11" s="92"/>
      <c r="AR11" s="90"/>
      <c r="AS11" s="91"/>
      <c r="AT11" s="92"/>
      <c r="AU11" s="90"/>
      <c r="AV11" s="91"/>
      <c r="AW11" s="128"/>
      <c r="AX11" s="126"/>
      <c r="AY11" s="127"/>
      <c r="AZ11" s="128"/>
      <c r="BA11" s="126"/>
      <c r="BB11" s="127"/>
      <c r="BC11" s="128"/>
      <c r="BD11" s="126"/>
      <c r="BE11" s="127"/>
      <c r="BF11" s="128"/>
      <c r="BG11" s="126"/>
      <c r="BH11" s="127"/>
      <c r="BI11" s="92"/>
      <c r="BJ11" s="90"/>
      <c r="BK11" s="91"/>
      <c r="BL11" s="92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1"/>
      <c r="BX11" s="92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1"/>
      <c r="CJ11" s="92"/>
      <c r="CK11" s="90"/>
      <c r="CL11" s="91"/>
      <c r="CM11" s="92"/>
      <c r="CN11" s="90"/>
      <c r="CO11" s="93"/>
      <c r="CP11" s="89"/>
      <c r="CQ11" s="90"/>
      <c r="CR11" s="91"/>
      <c r="CS11" s="92"/>
      <c r="CT11" s="90"/>
      <c r="CU11" s="91"/>
      <c r="CV11" s="92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1"/>
      <c r="DH11" s="92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1"/>
      <c r="DT11" s="92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1"/>
      <c r="EF11" s="128"/>
      <c r="EG11" s="126"/>
      <c r="EH11" s="127"/>
      <c r="EI11" s="128"/>
      <c r="EJ11" s="126"/>
      <c r="EK11" s="127"/>
      <c r="EL11" s="92"/>
      <c r="EM11" s="90"/>
      <c r="EN11" s="91"/>
      <c r="EO11" s="92"/>
      <c r="EP11" s="90"/>
      <c r="EQ11" s="91"/>
      <c r="ER11" s="92"/>
      <c r="ES11" s="90"/>
      <c r="ET11" s="91"/>
      <c r="EU11" s="92"/>
      <c r="EV11" s="90"/>
      <c r="EW11" s="91"/>
      <c r="EX11" s="92"/>
      <c r="EY11" s="90"/>
      <c r="EZ11" s="91"/>
      <c r="FA11" s="92"/>
      <c r="FB11" s="90"/>
      <c r="FC11" s="91"/>
      <c r="FD11" s="92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1"/>
      <c r="FP11" s="92"/>
      <c r="FQ11" s="90"/>
      <c r="FR11" s="91"/>
      <c r="FS11" s="128"/>
      <c r="FT11" s="126"/>
      <c r="FU11" s="127"/>
      <c r="FV11" s="128"/>
      <c r="FW11" s="126"/>
      <c r="FX11" s="127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1"/>
      <c r="GN11" s="92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1"/>
      <c r="GZ11" s="128"/>
      <c r="HA11" s="126"/>
      <c r="HB11" s="127"/>
      <c r="HC11" s="128"/>
      <c r="HD11" s="126"/>
      <c r="HE11" s="127"/>
      <c r="HF11" s="92"/>
      <c r="HG11" s="90"/>
      <c r="HH11" s="91"/>
      <c r="HI11" s="92"/>
      <c r="HJ11" s="90"/>
      <c r="HK11" s="91"/>
      <c r="HL11" s="92"/>
      <c r="HM11" s="90"/>
      <c r="HN11" s="91"/>
      <c r="HO11" s="92"/>
      <c r="HP11" s="90"/>
      <c r="HQ11" s="91"/>
      <c r="HR11" s="92"/>
      <c r="HS11" s="90"/>
      <c r="HT11" s="91"/>
      <c r="HU11" s="92"/>
      <c r="HV11" s="90"/>
      <c r="HW11" s="91"/>
      <c r="HX11" s="92"/>
      <c r="HY11" s="90"/>
      <c r="HZ11" s="91"/>
      <c r="IA11" s="92"/>
      <c r="IB11" s="90"/>
      <c r="IC11" s="91"/>
      <c r="ID11" s="92"/>
      <c r="IE11" s="90"/>
      <c r="IF11" s="91"/>
      <c r="IG11" s="92"/>
      <c r="IH11" s="90"/>
      <c r="II11" s="91"/>
      <c r="IJ11" s="92"/>
      <c r="IK11" s="90"/>
      <c r="IL11" s="91"/>
      <c r="IM11" s="92"/>
      <c r="IN11" s="90"/>
      <c r="IO11" s="91"/>
      <c r="IP11" s="92"/>
      <c r="IQ11" s="90"/>
      <c r="IR11" s="91"/>
      <c r="IS11" s="92"/>
      <c r="IT11" s="90"/>
      <c r="IU11" s="91"/>
      <c r="IV11" s="92"/>
      <c r="IW11" s="90"/>
      <c r="IX11" s="91"/>
      <c r="IY11" s="92"/>
      <c r="IZ11" s="90"/>
      <c r="JA11" s="91"/>
      <c r="JB11" s="92"/>
      <c r="JC11" s="90"/>
      <c r="JD11" s="91"/>
      <c r="JE11" s="92"/>
      <c r="JF11" s="90"/>
      <c r="JG11" s="91"/>
      <c r="JH11" s="92"/>
      <c r="JI11" s="90"/>
      <c r="JJ11" s="91"/>
      <c r="JK11" s="92"/>
      <c r="JL11" s="90"/>
      <c r="JM11" s="93"/>
      <c r="JN11" s="89"/>
      <c r="JO11" s="90"/>
      <c r="JP11" s="91"/>
      <c r="JQ11" s="92"/>
      <c r="JR11" s="90"/>
      <c r="JS11" s="91"/>
      <c r="JT11" s="92"/>
      <c r="JU11" s="90"/>
      <c r="JV11" s="91"/>
      <c r="JW11" s="92"/>
      <c r="JX11" s="90"/>
      <c r="JY11" s="91"/>
      <c r="JZ11" s="92"/>
      <c r="KA11" s="90"/>
      <c r="KB11" s="91"/>
      <c r="KC11" s="92"/>
      <c r="KD11" s="90"/>
      <c r="KE11" s="91"/>
      <c r="KF11" s="92"/>
      <c r="KG11" s="90"/>
      <c r="KH11" s="91"/>
      <c r="KI11" s="92"/>
      <c r="KJ11" s="90"/>
      <c r="KK11" s="91"/>
      <c r="KL11" s="92"/>
      <c r="KM11" s="90"/>
      <c r="KN11" s="91"/>
      <c r="KO11" s="92"/>
      <c r="KP11" s="90"/>
      <c r="KQ11" s="91"/>
      <c r="KR11" s="92"/>
      <c r="KS11" s="90"/>
      <c r="KT11" s="91"/>
      <c r="KU11" s="92"/>
      <c r="KV11" s="90"/>
      <c r="KW11" s="91"/>
      <c r="KX11" s="92"/>
      <c r="KY11" s="90"/>
      <c r="KZ11" s="91"/>
      <c r="LA11" s="92"/>
      <c r="LB11" s="90"/>
      <c r="LC11" s="91"/>
      <c r="LD11" s="92"/>
      <c r="LE11" s="90"/>
      <c r="LF11" s="91"/>
      <c r="LG11" s="92"/>
      <c r="LH11" s="90"/>
      <c r="LI11" s="91"/>
      <c r="LJ11" s="92"/>
      <c r="LK11" s="90"/>
      <c r="LL11" s="91"/>
      <c r="LM11" s="92"/>
      <c r="LN11" s="90"/>
      <c r="LO11" s="91"/>
      <c r="LP11" s="92"/>
      <c r="LQ11" s="90"/>
      <c r="LR11" s="91"/>
      <c r="LS11" s="92"/>
      <c r="LT11" s="90"/>
      <c r="LU11" s="91"/>
      <c r="LV11" s="92"/>
      <c r="LW11" s="90"/>
      <c r="LX11" s="91"/>
      <c r="LY11" s="92"/>
      <c r="LZ11" s="90"/>
      <c r="MA11" s="91"/>
      <c r="MB11" s="92"/>
      <c r="MC11" s="90"/>
      <c r="MD11" s="91"/>
      <c r="ME11" s="92"/>
      <c r="MF11" s="90"/>
      <c r="MG11" s="91"/>
      <c r="MH11" s="92"/>
      <c r="MI11" s="90"/>
      <c r="MJ11" s="91"/>
      <c r="MK11" s="92"/>
      <c r="ML11" s="90"/>
      <c r="MM11" s="91"/>
      <c r="MN11" s="92"/>
      <c r="MO11" s="90"/>
      <c r="MP11" s="91"/>
      <c r="MQ11" s="92"/>
      <c r="MR11" s="90"/>
      <c r="MS11" s="91"/>
      <c r="MT11" s="92"/>
      <c r="MU11" s="90"/>
      <c r="MV11" s="91"/>
      <c r="MW11" s="92"/>
      <c r="MX11" s="90"/>
      <c r="MY11" s="93"/>
    </row>
    <row r="12" spans="1:363" ht="19.5" customHeight="1" thickBot="1" x14ac:dyDescent="0.25">
      <c r="B12" s="150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6"/>
      <c r="P12" s="97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6"/>
      <c r="AB12" s="97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6"/>
      <c r="AN12" s="97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6"/>
      <c r="AZ12" s="97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6"/>
      <c r="BL12" s="97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6"/>
      <c r="BX12" s="97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6"/>
      <c r="CJ12" s="97"/>
      <c r="CK12" s="95"/>
      <c r="CL12" s="96"/>
      <c r="CM12" s="97"/>
      <c r="CN12" s="95"/>
      <c r="CO12" s="98"/>
      <c r="CP12" s="94"/>
      <c r="CQ12" s="95"/>
      <c r="CR12" s="96"/>
      <c r="CS12" s="97"/>
      <c r="CT12" s="95"/>
      <c r="CU12" s="96"/>
      <c r="CV12" s="97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6"/>
      <c r="DH12" s="97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6"/>
      <c r="DT12" s="97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6"/>
      <c r="EF12" s="97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6"/>
      <c r="ER12" s="97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6"/>
      <c r="FD12" s="97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6"/>
      <c r="FP12" s="97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6"/>
      <c r="GN12" s="97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6"/>
      <c r="GZ12" s="97"/>
      <c r="HA12" s="95"/>
      <c r="HB12" s="96"/>
      <c r="HC12" s="97"/>
      <c r="HD12" s="95"/>
      <c r="HE12" s="96"/>
      <c r="HF12" s="97"/>
      <c r="HG12" s="95"/>
      <c r="HH12" s="96"/>
      <c r="HI12" s="97"/>
      <c r="HJ12" s="95"/>
      <c r="HK12" s="96"/>
      <c r="HL12" s="97"/>
      <c r="HM12" s="95"/>
      <c r="HN12" s="96"/>
      <c r="HO12" s="97"/>
      <c r="HP12" s="95"/>
      <c r="HQ12" s="96"/>
      <c r="HR12" s="97"/>
      <c r="HS12" s="95"/>
      <c r="HT12" s="96"/>
      <c r="HU12" s="97"/>
      <c r="HV12" s="95"/>
      <c r="HW12" s="96"/>
      <c r="HX12" s="97"/>
      <c r="HY12" s="95"/>
      <c r="HZ12" s="96"/>
      <c r="IA12" s="97"/>
      <c r="IB12" s="95"/>
      <c r="IC12" s="96"/>
      <c r="ID12" s="97"/>
      <c r="IE12" s="95"/>
      <c r="IF12" s="96"/>
      <c r="IG12" s="97"/>
      <c r="IH12" s="95"/>
      <c r="II12" s="96"/>
      <c r="IJ12" s="97"/>
      <c r="IK12" s="95"/>
      <c r="IL12" s="96"/>
      <c r="IM12" s="97"/>
      <c r="IN12" s="95"/>
      <c r="IO12" s="96"/>
      <c r="IP12" s="97"/>
      <c r="IQ12" s="95"/>
      <c r="IR12" s="96"/>
      <c r="IS12" s="97"/>
      <c r="IT12" s="95"/>
      <c r="IU12" s="96"/>
      <c r="IV12" s="97"/>
      <c r="IW12" s="95"/>
      <c r="IX12" s="96"/>
      <c r="IY12" s="97"/>
      <c r="IZ12" s="95"/>
      <c r="JA12" s="96"/>
      <c r="JB12" s="97"/>
      <c r="JC12" s="95"/>
      <c r="JD12" s="96"/>
      <c r="JE12" s="97"/>
      <c r="JF12" s="95"/>
      <c r="JG12" s="96"/>
      <c r="JH12" s="97"/>
      <c r="JI12" s="95"/>
      <c r="JJ12" s="96"/>
      <c r="JK12" s="97"/>
      <c r="JL12" s="95"/>
      <c r="JM12" s="98"/>
      <c r="JN12" s="94"/>
      <c r="JO12" s="95"/>
      <c r="JP12" s="96"/>
      <c r="JQ12" s="97"/>
      <c r="JR12" s="95"/>
      <c r="JS12" s="96"/>
      <c r="JT12" s="97"/>
      <c r="JU12" s="95"/>
      <c r="JV12" s="96"/>
      <c r="JW12" s="97"/>
      <c r="JX12" s="95"/>
      <c r="JY12" s="96"/>
      <c r="JZ12" s="97"/>
      <c r="KA12" s="95"/>
      <c r="KB12" s="96"/>
      <c r="KC12" s="97"/>
      <c r="KD12" s="95"/>
      <c r="KE12" s="96"/>
      <c r="KF12" s="97"/>
      <c r="KG12" s="95"/>
      <c r="KH12" s="96"/>
      <c r="KI12" s="97"/>
      <c r="KJ12" s="95"/>
      <c r="KK12" s="96"/>
      <c r="KL12" s="97"/>
      <c r="KM12" s="95"/>
      <c r="KN12" s="96"/>
      <c r="KO12" s="97"/>
      <c r="KP12" s="95"/>
      <c r="KQ12" s="96"/>
      <c r="KR12" s="97"/>
      <c r="KS12" s="95"/>
      <c r="KT12" s="96"/>
      <c r="KU12" s="97"/>
      <c r="KV12" s="95"/>
      <c r="KW12" s="96"/>
      <c r="KX12" s="97"/>
      <c r="KY12" s="95"/>
      <c r="KZ12" s="96"/>
      <c r="LA12" s="97"/>
      <c r="LB12" s="95"/>
      <c r="LC12" s="96"/>
      <c r="LD12" s="97"/>
      <c r="LE12" s="95"/>
      <c r="LF12" s="96"/>
      <c r="LG12" s="97"/>
      <c r="LH12" s="95"/>
      <c r="LI12" s="96"/>
      <c r="LJ12" s="97"/>
      <c r="LK12" s="95"/>
      <c r="LL12" s="96"/>
      <c r="LM12" s="97"/>
      <c r="LN12" s="95"/>
      <c r="LO12" s="96"/>
      <c r="LP12" s="97"/>
      <c r="LQ12" s="95"/>
      <c r="LR12" s="96"/>
      <c r="LS12" s="97"/>
      <c r="LT12" s="95"/>
      <c r="LU12" s="96"/>
      <c r="LV12" s="97"/>
      <c r="LW12" s="95"/>
      <c r="LX12" s="96"/>
      <c r="LY12" s="97"/>
      <c r="LZ12" s="95"/>
      <c r="MA12" s="96"/>
      <c r="MB12" s="97"/>
      <c r="MC12" s="95"/>
      <c r="MD12" s="96"/>
      <c r="ME12" s="97"/>
      <c r="MF12" s="95"/>
      <c r="MG12" s="96"/>
      <c r="MH12" s="97"/>
      <c r="MI12" s="95"/>
      <c r="MJ12" s="96"/>
      <c r="MK12" s="97"/>
      <c r="ML12" s="95"/>
      <c r="MM12" s="96"/>
      <c r="MN12" s="97"/>
      <c r="MO12" s="95"/>
      <c r="MP12" s="96"/>
      <c r="MQ12" s="97"/>
      <c r="MR12" s="95"/>
      <c r="MS12" s="96"/>
      <c r="MT12" s="97"/>
      <c r="MU12" s="95"/>
      <c r="MV12" s="96"/>
      <c r="MW12" s="97"/>
      <c r="MX12" s="95"/>
      <c r="MY12" s="98"/>
    </row>
    <row r="13" spans="1:363" ht="19.5" customHeight="1" x14ac:dyDescent="0.2">
      <c r="B13" s="149" t="str">
        <f>Donnees!$C$25</f>
        <v>Création évaluation</v>
      </c>
      <c r="C13" s="99">
        <v>39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1"/>
      <c r="P13" s="92"/>
      <c r="Q13" s="90"/>
      <c r="R13" s="91"/>
      <c r="S13" s="92"/>
      <c r="T13" s="90"/>
      <c r="U13" s="91"/>
      <c r="V13" s="92"/>
      <c r="W13" s="90"/>
      <c r="X13" s="91"/>
      <c r="Y13" s="92"/>
      <c r="Z13" s="90"/>
      <c r="AA13" s="91"/>
      <c r="AB13" s="92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1"/>
      <c r="AN13" s="92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1"/>
      <c r="AZ13" s="92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1"/>
      <c r="BL13" s="92"/>
      <c r="BM13" s="90"/>
      <c r="BN13" s="91"/>
      <c r="BO13" s="128"/>
      <c r="BP13" s="126"/>
      <c r="BQ13" s="127"/>
      <c r="BR13" s="128"/>
      <c r="BS13" s="126"/>
      <c r="BT13" s="127"/>
      <c r="BU13" s="128"/>
      <c r="BV13" s="126"/>
      <c r="BW13" s="127"/>
      <c r="BX13" s="92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1"/>
      <c r="CJ13" s="92"/>
      <c r="CK13" s="90"/>
      <c r="CL13" s="91"/>
      <c r="CM13" s="92"/>
      <c r="CN13" s="90"/>
      <c r="CO13" s="93"/>
      <c r="CP13" s="89"/>
      <c r="CQ13" s="90"/>
      <c r="CR13" s="91"/>
      <c r="CS13" s="92"/>
      <c r="CT13" s="90"/>
      <c r="CU13" s="91"/>
      <c r="CV13" s="92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1"/>
      <c r="DH13" s="92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1"/>
      <c r="DT13" s="92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1"/>
      <c r="EF13" s="92"/>
      <c r="EG13" s="90"/>
      <c r="EH13" s="91"/>
      <c r="EI13" s="92"/>
      <c r="EJ13" s="90"/>
      <c r="EK13" s="91"/>
      <c r="EL13" s="92"/>
      <c r="EM13" s="90"/>
      <c r="EN13" s="91"/>
      <c r="EO13" s="128"/>
      <c r="EP13" s="126"/>
      <c r="EQ13" s="127"/>
      <c r="ER13" s="128"/>
      <c r="ES13" s="126"/>
      <c r="ET13" s="127"/>
      <c r="EU13" s="92"/>
      <c r="EV13" s="90"/>
      <c r="EW13" s="91"/>
      <c r="EX13" s="92"/>
      <c r="EY13" s="90"/>
      <c r="EZ13" s="91"/>
      <c r="FA13" s="92"/>
      <c r="FB13" s="90"/>
      <c r="FC13" s="91"/>
      <c r="FD13" s="92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1"/>
      <c r="FP13" s="92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125"/>
      <c r="GC13" s="126"/>
      <c r="GD13" s="127"/>
      <c r="GE13" s="128"/>
      <c r="GF13" s="126"/>
      <c r="GG13" s="127"/>
      <c r="GH13" s="92"/>
      <c r="GI13" s="90"/>
      <c r="GJ13" s="91"/>
      <c r="GK13" s="92"/>
      <c r="GL13" s="90"/>
      <c r="GM13" s="91"/>
      <c r="GN13" s="92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1"/>
      <c r="GZ13" s="92"/>
      <c r="HA13" s="90"/>
      <c r="HB13" s="91"/>
      <c r="HC13" s="92"/>
      <c r="HD13" s="90"/>
      <c r="HE13" s="91"/>
      <c r="HF13" s="92"/>
      <c r="HG13" s="90"/>
      <c r="HH13" s="91"/>
      <c r="HI13" s="92"/>
      <c r="HJ13" s="90"/>
      <c r="HK13" s="91"/>
      <c r="HL13" s="128"/>
      <c r="HM13" s="126"/>
      <c r="HN13" s="127"/>
      <c r="HO13" s="128"/>
      <c r="HP13" s="126"/>
      <c r="HQ13" s="127"/>
      <c r="HR13" s="128"/>
      <c r="HS13" s="126"/>
      <c r="HT13" s="127"/>
      <c r="HU13" s="92"/>
      <c r="HV13" s="90"/>
      <c r="HW13" s="91"/>
      <c r="HX13" s="92"/>
      <c r="HY13" s="90"/>
      <c r="HZ13" s="91"/>
      <c r="IA13" s="92"/>
      <c r="IB13" s="90"/>
      <c r="IC13" s="91"/>
      <c r="ID13" s="92"/>
      <c r="IE13" s="90"/>
      <c r="IF13" s="91"/>
      <c r="IG13" s="92"/>
      <c r="IH13" s="90"/>
      <c r="II13" s="91"/>
      <c r="IJ13" s="92"/>
      <c r="IK13" s="90"/>
      <c r="IL13" s="91"/>
      <c r="IM13" s="128"/>
      <c r="IN13" s="126"/>
      <c r="IO13" s="127"/>
      <c r="IP13" s="128"/>
      <c r="IQ13" s="126"/>
      <c r="IR13" s="127"/>
      <c r="IS13" s="128"/>
      <c r="IT13" s="126"/>
      <c r="IU13" s="127"/>
      <c r="IV13" s="92"/>
      <c r="IW13" s="90"/>
      <c r="IX13" s="91"/>
      <c r="IY13" s="92"/>
      <c r="IZ13" s="90"/>
      <c r="JA13" s="91"/>
      <c r="JB13" s="92"/>
      <c r="JC13" s="90"/>
      <c r="JD13" s="91"/>
      <c r="JE13" s="92"/>
      <c r="JF13" s="90"/>
      <c r="JG13" s="91"/>
      <c r="JH13" s="92"/>
      <c r="JI13" s="90"/>
      <c r="JJ13" s="91"/>
      <c r="JK13" s="92"/>
      <c r="JL13" s="90"/>
      <c r="JM13" s="93"/>
      <c r="JN13" s="89"/>
      <c r="JO13" s="90"/>
      <c r="JP13" s="91"/>
      <c r="JQ13" s="92"/>
      <c r="JR13" s="90"/>
      <c r="JS13" s="91"/>
      <c r="JT13" s="92"/>
      <c r="JU13" s="90"/>
      <c r="JV13" s="91"/>
      <c r="JW13" s="92"/>
      <c r="JX13" s="90"/>
      <c r="JY13" s="91"/>
      <c r="JZ13" s="92"/>
      <c r="KA13" s="90"/>
      <c r="KB13" s="91"/>
      <c r="KC13" s="92"/>
      <c r="KD13" s="90"/>
      <c r="KE13" s="91"/>
      <c r="KF13" s="92"/>
      <c r="KG13" s="90"/>
      <c r="KH13" s="91"/>
      <c r="KI13" s="92"/>
      <c r="KJ13" s="90"/>
      <c r="KK13" s="91"/>
      <c r="KL13" s="92"/>
      <c r="KM13" s="90"/>
      <c r="KN13" s="91"/>
      <c r="KO13" s="92"/>
      <c r="KP13" s="90"/>
      <c r="KQ13" s="91"/>
      <c r="KR13" s="92"/>
      <c r="KS13" s="90"/>
      <c r="KT13" s="91"/>
      <c r="KU13" s="92"/>
      <c r="KV13" s="90"/>
      <c r="KW13" s="91"/>
      <c r="KX13" s="92"/>
      <c r="KY13" s="90"/>
      <c r="KZ13" s="91"/>
      <c r="LA13" s="92"/>
      <c r="LB13" s="90"/>
      <c r="LC13" s="91"/>
      <c r="LD13" s="92"/>
      <c r="LE13" s="90"/>
      <c r="LF13" s="91"/>
      <c r="LG13" s="92"/>
      <c r="LH13" s="90"/>
      <c r="LI13" s="91"/>
      <c r="LJ13" s="92"/>
      <c r="LK13" s="90"/>
      <c r="LL13" s="91"/>
      <c r="LM13" s="92"/>
      <c r="LN13" s="90"/>
      <c r="LO13" s="91"/>
      <c r="LP13" s="92"/>
      <c r="LQ13" s="90"/>
      <c r="LR13" s="91"/>
      <c r="LS13" s="92"/>
      <c r="LT13" s="90"/>
      <c r="LU13" s="91"/>
      <c r="LV13" s="92"/>
      <c r="LW13" s="90"/>
      <c r="LX13" s="91"/>
      <c r="LY13" s="92"/>
      <c r="LZ13" s="90"/>
      <c r="MA13" s="91"/>
      <c r="MB13" s="92"/>
      <c r="MC13" s="90"/>
      <c r="MD13" s="91"/>
      <c r="ME13" s="92"/>
      <c r="MF13" s="90"/>
      <c r="MG13" s="91"/>
      <c r="MH13" s="92"/>
      <c r="MI13" s="90"/>
      <c r="MJ13" s="91"/>
      <c r="MK13" s="92"/>
      <c r="ML13" s="90"/>
      <c r="MM13" s="91"/>
      <c r="MN13" s="92"/>
      <c r="MO13" s="90"/>
      <c r="MP13" s="91"/>
      <c r="MQ13" s="92"/>
      <c r="MR13" s="90"/>
      <c r="MS13" s="91"/>
      <c r="MT13" s="92"/>
      <c r="MU13" s="90"/>
      <c r="MV13" s="91"/>
      <c r="MW13" s="92"/>
      <c r="MX13" s="90"/>
      <c r="MY13" s="93"/>
    </row>
    <row r="14" spans="1:363" ht="19.5" customHeight="1" thickBot="1" x14ac:dyDescent="0.25">
      <c r="B14" s="150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6"/>
      <c r="P14" s="97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6"/>
      <c r="AB14" s="97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6"/>
      <c r="AN14" s="97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6"/>
      <c r="AZ14" s="97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6"/>
      <c r="BL14" s="97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6"/>
      <c r="BX14" s="97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6"/>
      <c r="CJ14" s="97"/>
      <c r="CK14" s="95"/>
      <c r="CL14" s="96"/>
      <c r="CM14" s="97"/>
      <c r="CN14" s="95"/>
      <c r="CO14" s="98"/>
      <c r="CP14" s="94"/>
      <c r="CQ14" s="95"/>
      <c r="CR14" s="96"/>
      <c r="CS14" s="97"/>
      <c r="CT14" s="95"/>
      <c r="CU14" s="96"/>
      <c r="CV14" s="97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6"/>
      <c r="DH14" s="97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6"/>
      <c r="DT14" s="97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6"/>
      <c r="EF14" s="97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6"/>
      <c r="ER14" s="97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6"/>
      <c r="FD14" s="97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6"/>
      <c r="FP14" s="97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6"/>
      <c r="GN14" s="97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6"/>
      <c r="GZ14" s="97"/>
      <c r="HA14" s="95"/>
      <c r="HB14" s="96"/>
      <c r="HC14" s="97"/>
      <c r="HD14" s="95"/>
      <c r="HE14" s="96"/>
      <c r="HF14" s="97"/>
      <c r="HG14" s="95"/>
      <c r="HH14" s="96"/>
      <c r="HI14" s="97"/>
      <c r="HJ14" s="95"/>
      <c r="HK14" s="96"/>
      <c r="HL14" s="97"/>
      <c r="HM14" s="95"/>
      <c r="HN14" s="96"/>
      <c r="HO14" s="97"/>
      <c r="HP14" s="95"/>
      <c r="HQ14" s="96"/>
      <c r="HR14" s="97"/>
      <c r="HS14" s="95"/>
      <c r="HT14" s="96"/>
      <c r="HU14" s="97"/>
      <c r="HV14" s="95"/>
      <c r="HW14" s="96"/>
      <c r="HX14" s="97"/>
      <c r="HY14" s="95"/>
      <c r="HZ14" s="96"/>
      <c r="IA14" s="97"/>
      <c r="IB14" s="95"/>
      <c r="IC14" s="96"/>
      <c r="ID14" s="97"/>
      <c r="IE14" s="95"/>
      <c r="IF14" s="96"/>
      <c r="IG14" s="97"/>
      <c r="IH14" s="95"/>
      <c r="II14" s="96"/>
      <c r="IJ14" s="97"/>
      <c r="IK14" s="95"/>
      <c r="IL14" s="96"/>
      <c r="IM14" s="97"/>
      <c r="IN14" s="95"/>
      <c r="IO14" s="96"/>
      <c r="IP14" s="97"/>
      <c r="IQ14" s="95"/>
      <c r="IR14" s="96"/>
      <c r="IS14" s="97"/>
      <c r="IT14" s="95"/>
      <c r="IU14" s="96"/>
      <c r="IV14" s="97"/>
      <c r="IW14" s="95"/>
      <c r="IX14" s="96"/>
      <c r="IY14" s="97"/>
      <c r="IZ14" s="95"/>
      <c r="JA14" s="96"/>
      <c r="JB14" s="97"/>
      <c r="JC14" s="95"/>
      <c r="JD14" s="96"/>
      <c r="JE14" s="97"/>
      <c r="JF14" s="95"/>
      <c r="JG14" s="96"/>
      <c r="JH14" s="97"/>
      <c r="JI14" s="95"/>
      <c r="JJ14" s="96"/>
      <c r="JK14" s="97"/>
      <c r="JL14" s="95"/>
      <c r="JM14" s="98"/>
      <c r="JN14" s="94"/>
      <c r="JO14" s="95"/>
      <c r="JP14" s="96"/>
      <c r="JQ14" s="97"/>
      <c r="JR14" s="95"/>
      <c r="JS14" s="96"/>
      <c r="JT14" s="97"/>
      <c r="JU14" s="95"/>
      <c r="JV14" s="96"/>
      <c r="JW14" s="97"/>
      <c r="JX14" s="95"/>
      <c r="JY14" s="96"/>
      <c r="JZ14" s="97"/>
      <c r="KA14" s="95"/>
      <c r="KB14" s="96"/>
      <c r="KC14" s="97"/>
      <c r="KD14" s="95"/>
      <c r="KE14" s="96"/>
      <c r="KF14" s="97"/>
      <c r="KG14" s="95"/>
      <c r="KH14" s="96"/>
      <c r="KI14" s="97"/>
      <c r="KJ14" s="95"/>
      <c r="KK14" s="96"/>
      <c r="KL14" s="97"/>
      <c r="KM14" s="95"/>
      <c r="KN14" s="96"/>
      <c r="KO14" s="97"/>
      <c r="KP14" s="95"/>
      <c r="KQ14" s="96"/>
      <c r="KR14" s="97"/>
      <c r="KS14" s="95"/>
      <c r="KT14" s="96"/>
      <c r="KU14" s="97"/>
      <c r="KV14" s="95"/>
      <c r="KW14" s="96"/>
      <c r="KX14" s="97"/>
      <c r="KY14" s="95"/>
      <c r="KZ14" s="96"/>
      <c r="LA14" s="97"/>
      <c r="LB14" s="95"/>
      <c r="LC14" s="96"/>
      <c r="LD14" s="97"/>
      <c r="LE14" s="95"/>
      <c r="LF14" s="96"/>
      <c r="LG14" s="97"/>
      <c r="LH14" s="95"/>
      <c r="LI14" s="96"/>
      <c r="LJ14" s="97"/>
      <c r="LK14" s="95"/>
      <c r="LL14" s="96"/>
      <c r="LM14" s="97"/>
      <c r="LN14" s="95"/>
      <c r="LO14" s="96"/>
      <c r="LP14" s="97"/>
      <c r="LQ14" s="95"/>
      <c r="LR14" s="96"/>
      <c r="LS14" s="97"/>
      <c r="LT14" s="95"/>
      <c r="LU14" s="96"/>
      <c r="LV14" s="97"/>
      <c r="LW14" s="95"/>
      <c r="LX14" s="96"/>
      <c r="LY14" s="97"/>
      <c r="LZ14" s="95"/>
      <c r="MA14" s="96"/>
      <c r="MB14" s="97"/>
      <c r="MC14" s="95"/>
      <c r="MD14" s="96"/>
      <c r="ME14" s="97"/>
      <c r="MF14" s="95"/>
      <c r="MG14" s="96"/>
      <c r="MH14" s="97"/>
      <c r="MI14" s="95"/>
      <c r="MJ14" s="96"/>
      <c r="MK14" s="97"/>
      <c r="ML14" s="95"/>
      <c r="MM14" s="96"/>
      <c r="MN14" s="97"/>
      <c r="MO14" s="95"/>
      <c r="MP14" s="96"/>
      <c r="MQ14" s="97"/>
      <c r="MR14" s="95"/>
      <c r="MS14" s="96"/>
      <c r="MT14" s="97"/>
      <c r="MU14" s="95"/>
      <c r="MV14" s="96"/>
      <c r="MW14" s="97"/>
      <c r="MX14" s="95"/>
      <c r="MY14" s="98"/>
    </row>
    <row r="15" spans="1:363" ht="19.5" customHeight="1" x14ac:dyDescent="0.2">
      <c r="B15" s="149" t="str">
        <f>Donnees!$C$26</f>
        <v>Création corriger</v>
      </c>
      <c r="C15" s="99">
        <v>45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1"/>
      <c r="P15" s="92"/>
      <c r="Q15" s="90"/>
      <c r="R15" s="91"/>
      <c r="S15" s="92"/>
      <c r="T15" s="90"/>
      <c r="U15" s="91"/>
      <c r="V15" s="92"/>
      <c r="W15" s="90"/>
      <c r="X15" s="91"/>
      <c r="Y15" s="92"/>
      <c r="Z15" s="90"/>
      <c r="AA15" s="91"/>
      <c r="AB15" s="92"/>
      <c r="AC15" s="90"/>
      <c r="AD15" s="91"/>
      <c r="AE15" s="92"/>
      <c r="AF15" s="90"/>
      <c r="AG15" s="91"/>
      <c r="AH15" s="92"/>
      <c r="AI15" s="90"/>
      <c r="AJ15" s="91"/>
      <c r="AK15" s="92"/>
      <c r="AL15" s="90"/>
      <c r="AM15" s="91"/>
      <c r="AN15" s="92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1"/>
      <c r="AZ15" s="92"/>
      <c r="BA15" s="90"/>
      <c r="BB15" s="91"/>
      <c r="BC15" s="92"/>
      <c r="BD15" s="90"/>
      <c r="BE15" s="91"/>
      <c r="BF15" s="92"/>
      <c r="BG15" s="90"/>
      <c r="BH15" s="91"/>
      <c r="BI15" s="128"/>
      <c r="BJ15" s="126"/>
      <c r="BK15" s="127"/>
      <c r="BL15" s="128"/>
      <c r="BM15" s="126"/>
      <c r="BN15" s="127"/>
      <c r="BO15" s="92"/>
      <c r="BP15" s="90"/>
      <c r="BQ15" s="91"/>
      <c r="BR15" s="92"/>
      <c r="BS15" s="90"/>
      <c r="BT15" s="91"/>
      <c r="BU15" s="92"/>
      <c r="BV15" s="90"/>
      <c r="BW15" s="91"/>
      <c r="BX15" s="128"/>
      <c r="BY15" s="126"/>
      <c r="BZ15" s="127"/>
      <c r="CA15" s="128"/>
      <c r="CB15" s="126"/>
      <c r="CC15" s="127"/>
      <c r="CD15" s="128"/>
      <c r="CE15" s="126"/>
      <c r="CF15" s="127"/>
      <c r="CG15" s="92"/>
      <c r="CH15" s="90"/>
      <c r="CI15" s="91"/>
      <c r="CJ15" s="92"/>
      <c r="CK15" s="90"/>
      <c r="CL15" s="91"/>
      <c r="CM15" s="92"/>
      <c r="CN15" s="90"/>
      <c r="CO15" s="93"/>
      <c r="CP15" s="89"/>
      <c r="CQ15" s="90"/>
      <c r="CR15" s="91"/>
      <c r="CS15" s="92"/>
      <c r="CT15" s="90"/>
      <c r="CU15" s="91"/>
      <c r="CV15" s="92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1"/>
      <c r="DH15" s="92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1"/>
      <c r="DT15" s="92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1"/>
      <c r="EF15" s="92"/>
      <c r="EG15" s="90"/>
      <c r="EH15" s="91"/>
      <c r="EI15" s="92"/>
      <c r="EJ15" s="90"/>
      <c r="EK15" s="91"/>
      <c r="EL15" s="128"/>
      <c r="EM15" s="126"/>
      <c r="EN15" s="127"/>
      <c r="EO15" s="92"/>
      <c r="EP15" s="90"/>
      <c r="EQ15" s="91"/>
      <c r="ER15" s="92"/>
      <c r="ES15" s="90"/>
      <c r="ET15" s="91"/>
      <c r="EU15" s="128"/>
      <c r="EV15" s="126"/>
      <c r="EW15" s="127"/>
      <c r="EX15" s="92"/>
      <c r="EY15" s="90"/>
      <c r="EZ15" s="91"/>
      <c r="FA15" s="92"/>
      <c r="FB15" s="90"/>
      <c r="FC15" s="91"/>
      <c r="FD15" s="92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1"/>
      <c r="FP15" s="92"/>
      <c r="FQ15" s="90"/>
      <c r="FR15" s="91"/>
      <c r="FS15" s="92"/>
      <c r="FT15" s="90"/>
      <c r="FU15" s="91"/>
      <c r="FV15" s="92"/>
      <c r="FW15" s="90"/>
      <c r="FX15" s="91"/>
      <c r="FY15" s="128"/>
      <c r="FZ15" s="126"/>
      <c r="GA15" s="129"/>
      <c r="GB15" s="89"/>
      <c r="GC15" s="90"/>
      <c r="GD15" s="91"/>
      <c r="GE15" s="92"/>
      <c r="GF15" s="90"/>
      <c r="GG15" s="91"/>
      <c r="GH15" s="128"/>
      <c r="GI15" s="126"/>
      <c r="GJ15" s="127"/>
      <c r="GK15" s="92"/>
      <c r="GL15" s="90"/>
      <c r="GM15" s="91"/>
      <c r="GN15" s="92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1"/>
      <c r="GZ15" s="92"/>
      <c r="HA15" s="90"/>
      <c r="HB15" s="91"/>
      <c r="HC15" s="92"/>
      <c r="HD15" s="90"/>
      <c r="HE15" s="91"/>
      <c r="HF15" s="128"/>
      <c r="HG15" s="126"/>
      <c r="HH15" s="127"/>
      <c r="HI15" s="128"/>
      <c r="HJ15" s="126"/>
      <c r="HK15" s="127"/>
      <c r="HL15" s="92"/>
      <c r="HM15" s="90"/>
      <c r="HN15" s="91"/>
      <c r="HO15" s="92"/>
      <c r="HP15" s="90"/>
      <c r="HQ15" s="91"/>
      <c r="HR15" s="92"/>
      <c r="HS15" s="90"/>
      <c r="HT15" s="91"/>
      <c r="HU15" s="128"/>
      <c r="HV15" s="126"/>
      <c r="HW15" s="127"/>
      <c r="HX15" s="128"/>
      <c r="HY15" s="126"/>
      <c r="HZ15" s="127"/>
      <c r="IA15" s="92"/>
      <c r="IB15" s="90"/>
      <c r="IC15" s="91"/>
      <c r="ID15" s="92"/>
      <c r="IE15" s="90"/>
      <c r="IF15" s="91"/>
      <c r="IG15" s="92"/>
      <c r="IH15" s="90"/>
      <c r="II15" s="91"/>
      <c r="IJ15" s="92"/>
      <c r="IK15" s="90"/>
      <c r="IL15" s="91"/>
      <c r="IM15" s="92"/>
      <c r="IN15" s="90"/>
      <c r="IO15" s="91"/>
      <c r="IP15" s="92"/>
      <c r="IQ15" s="90"/>
      <c r="IR15" s="91"/>
      <c r="IS15" s="92"/>
      <c r="IT15" s="90"/>
      <c r="IU15" s="91"/>
      <c r="IV15" s="128"/>
      <c r="IW15" s="126"/>
      <c r="IX15" s="127"/>
      <c r="IY15" s="128"/>
      <c r="IZ15" s="126"/>
      <c r="JA15" s="127"/>
      <c r="JB15" s="92"/>
      <c r="JC15" s="90"/>
      <c r="JD15" s="91"/>
      <c r="JE15" s="92"/>
      <c r="JF15" s="90"/>
      <c r="JG15" s="91"/>
      <c r="JH15" s="92"/>
      <c r="JI15" s="90"/>
      <c r="JJ15" s="91"/>
      <c r="JK15" s="92"/>
      <c r="JL15" s="90"/>
      <c r="JM15" s="93"/>
      <c r="JN15" s="89"/>
      <c r="JO15" s="90"/>
      <c r="JP15" s="91"/>
      <c r="JQ15" s="92"/>
      <c r="JR15" s="90"/>
      <c r="JS15" s="91"/>
      <c r="JT15" s="92"/>
      <c r="JU15" s="90"/>
      <c r="JV15" s="91"/>
      <c r="JW15" s="92"/>
      <c r="JX15" s="90"/>
      <c r="JY15" s="91"/>
      <c r="JZ15" s="92"/>
      <c r="KA15" s="90"/>
      <c r="KB15" s="91"/>
      <c r="KC15" s="92"/>
      <c r="KD15" s="90"/>
      <c r="KE15" s="91"/>
      <c r="KF15" s="92"/>
      <c r="KG15" s="90"/>
      <c r="KH15" s="91"/>
      <c r="KI15" s="92"/>
      <c r="KJ15" s="90"/>
      <c r="KK15" s="91"/>
      <c r="KL15" s="92"/>
      <c r="KM15" s="90"/>
      <c r="KN15" s="91"/>
      <c r="KO15" s="92"/>
      <c r="KP15" s="90"/>
      <c r="KQ15" s="91"/>
      <c r="KR15" s="92"/>
      <c r="KS15" s="90"/>
      <c r="KT15" s="91"/>
      <c r="KU15" s="92"/>
      <c r="KV15" s="90"/>
      <c r="KW15" s="91"/>
      <c r="KX15" s="92"/>
      <c r="KY15" s="90"/>
      <c r="KZ15" s="91"/>
      <c r="LA15" s="92"/>
      <c r="LB15" s="90"/>
      <c r="LC15" s="91"/>
      <c r="LD15" s="92"/>
      <c r="LE15" s="90"/>
      <c r="LF15" s="91"/>
      <c r="LG15" s="92"/>
      <c r="LH15" s="90"/>
      <c r="LI15" s="91"/>
      <c r="LJ15" s="92"/>
      <c r="LK15" s="90"/>
      <c r="LL15" s="91"/>
      <c r="LM15" s="92"/>
      <c r="LN15" s="90"/>
      <c r="LO15" s="91"/>
      <c r="LP15" s="92"/>
      <c r="LQ15" s="90"/>
      <c r="LR15" s="91"/>
      <c r="LS15" s="92"/>
      <c r="LT15" s="90"/>
      <c r="LU15" s="91"/>
      <c r="LV15" s="92"/>
      <c r="LW15" s="90"/>
      <c r="LX15" s="91"/>
      <c r="LY15" s="92"/>
      <c r="LZ15" s="90"/>
      <c r="MA15" s="91"/>
      <c r="MB15" s="92"/>
      <c r="MC15" s="90"/>
      <c r="MD15" s="91"/>
      <c r="ME15" s="92"/>
      <c r="MF15" s="90"/>
      <c r="MG15" s="91"/>
      <c r="MH15" s="92"/>
      <c r="MI15" s="90"/>
      <c r="MJ15" s="91"/>
      <c r="MK15" s="92"/>
      <c r="ML15" s="90"/>
      <c r="MM15" s="91"/>
      <c r="MN15" s="92"/>
      <c r="MO15" s="90"/>
      <c r="MP15" s="91"/>
      <c r="MQ15" s="92"/>
      <c r="MR15" s="90"/>
      <c r="MS15" s="91"/>
      <c r="MT15" s="92"/>
      <c r="MU15" s="90"/>
      <c r="MV15" s="91"/>
      <c r="MW15" s="92"/>
      <c r="MX15" s="90"/>
      <c r="MY15" s="93"/>
    </row>
    <row r="16" spans="1:363" ht="19.5" customHeight="1" thickBot="1" x14ac:dyDescent="0.25">
      <c r="A16" s="101"/>
      <c r="B16" s="150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6"/>
      <c r="P16" s="97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6"/>
      <c r="AB16" s="97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6"/>
      <c r="AN16" s="97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6"/>
      <c r="AZ16" s="97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6"/>
      <c r="BL16" s="97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6"/>
      <c r="BX16" s="97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6"/>
      <c r="CJ16" s="97"/>
      <c r="CK16" s="95"/>
      <c r="CL16" s="96"/>
      <c r="CM16" s="97"/>
      <c r="CN16" s="95"/>
      <c r="CO16" s="98"/>
      <c r="CP16" s="94"/>
      <c r="CQ16" s="95"/>
      <c r="CR16" s="96"/>
      <c r="CS16" s="97"/>
      <c r="CT16" s="95"/>
      <c r="CU16" s="96"/>
      <c r="CV16" s="97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6"/>
      <c r="DH16" s="97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6"/>
      <c r="DT16" s="97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6"/>
      <c r="EF16" s="97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6"/>
      <c r="ER16" s="97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6"/>
      <c r="FD16" s="97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6"/>
      <c r="FP16" s="97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6"/>
      <c r="GN16" s="97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6"/>
      <c r="GZ16" s="97"/>
      <c r="HA16" s="95"/>
      <c r="HB16" s="96"/>
      <c r="HC16" s="97"/>
      <c r="HD16" s="95"/>
      <c r="HE16" s="96"/>
      <c r="HF16" s="97"/>
      <c r="HG16" s="95"/>
      <c r="HH16" s="96"/>
      <c r="HI16" s="97"/>
      <c r="HJ16" s="95"/>
      <c r="HK16" s="96"/>
      <c r="HL16" s="97"/>
      <c r="HM16" s="95"/>
      <c r="HN16" s="96"/>
      <c r="HO16" s="97"/>
      <c r="HP16" s="95"/>
      <c r="HQ16" s="96"/>
      <c r="HR16" s="97"/>
      <c r="HS16" s="95"/>
      <c r="HT16" s="96"/>
      <c r="HU16" s="97"/>
      <c r="HV16" s="95"/>
      <c r="HW16" s="96"/>
      <c r="HX16" s="97"/>
      <c r="HY16" s="95"/>
      <c r="HZ16" s="96"/>
      <c r="IA16" s="97"/>
      <c r="IB16" s="95"/>
      <c r="IC16" s="96"/>
      <c r="ID16" s="97"/>
      <c r="IE16" s="95"/>
      <c r="IF16" s="96"/>
      <c r="IG16" s="97"/>
      <c r="IH16" s="95"/>
      <c r="II16" s="96"/>
      <c r="IJ16" s="97"/>
      <c r="IK16" s="95"/>
      <c r="IL16" s="96"/>
      <c r="IM16" s="97"/>
      <c r="IN16" s="95"/>
      <c r="IO16" s="96"/>
      <c r="IP16" s="97"/>
      <c r="IQ16" s="95"/>
      <c r="IR16" s="96"/>
      <c r="IS16" s="97"/>
      <c r="IT16" s="95"/>
      <c r="IU16" s="96"/>
      <c r="IV16" s="97"/>
      <c r="IW16" s="95"/>
      <c r="IX16" s="96"/>
      <c r="IY16" s="97"/>
      <c r="IZ16" s="95"/>
      <c r="JA16" s="96"/>
      <c r="JB16" s="97"/>
      <c r="JC16" s="95"/>
      <c r="JD16" s="96"/>
      <c r="JE16" s="97"/>
      <c r="JF16" s="95"/>
      <c r="JG16" s="96"/>
      <c r="JH16" s="97"/>
      <c r="JI16" s="95"/>
      <c r="JJ16" s="96"/>
      <c r="JK16" s="97"/>
      <c r="JL16" s="95"/>
      <c r="JM16" s="98"/>
      <c r="JN16" s="94"/>
      <c r="JO16" s="95"/>
      <c r="JP16" s="96"/>
      <c r="JQ16" s="97"/>
      <c r="JR16" s="95"/>
      <c r="JS16" s="96"/>
      <c r="JT16" s="97"/>
      <c r="JU16" s="95"/>
      <c r="JV16" s="96"/>
      <c r="JW16" s="97"/>
      <c r="JX16" s="95"/>
      <c r="JY16" s="96"/>
      <c r="JZ16" s="97"/>
      <c r="KA16" s="95"/>
      <c r="KB16" s="96"/>
      <c r="KC16" s="97"/>
      <c r="KD16" s="95"/>
      <c r="KE16" s="96"/>
      <c r="KF16" s="97"/>
      <c r="KG16" s="95"/>
      <c r="KH16" s="96"/>
      <c r="KI16" s="97"/>
      <c r="KJ16" s="95"/>
      <c r="KK16" s="96"/>
      <c r="KL16" s="97"/>
      <c r="KM16" s="95"/>
      <c r="KN16" s="96"/>
      <c r="KO16" s="97"/>
      <c r="KP16" s="95"/>
      <c r="KQ16" s="96"/>
      <c r="KR16" s="97"/>
      <c r="KS16" s="95"/>
      <c r="KT16" s="96"/>
      <c r="KU16" s="97"/>
      <c r="KV16" s="95"/>
      <c r="KW16" s="96"/>
      <c r="KX16" s="97"/>
      <c r="KY16" s="95"/>
      <c r="KZ16" s="96"/>
      <c r="LA16" s="97"/>
      <c r="LB16" s="95"/>
      <c r="LC16" s="96"/>
      <c r="LD16" s="97"/>
      <c r="LE16" s="95"/>
      <c r="LF16" s="96"/>
      <c r="LG16" s="97"/>
      <c r="LH16" s="95"/>
      <c r="LI16" s="96"/>
      <c r="LJ16" s="97"/>
      <c r="LK16" s="95"/>
      <c r="LL16" s="96"/>
      <c r="LM16" s="97"/>
      <c r="LN16" s="95"/>
      <c r="LO16" s="96"/>
      <c r="LP16" s="97"/>
      <c r="LQ16" s="95"/>
      <c r="LR16" s="96"/>
      <c r="LS16" s="97"/>
      <c r="LT16" s="95"/>
      <c r="LU16" s="96"/>
      <c r="LV16" s="97"/>
      <c r="LW16" s="95"/>
      <c r="LX16" s="96"/>
      <c r="LY16" s="97"/>
      <c r="LZ16" s="95"/>
      <c r="MA16" s="96"/>
      <c r="MB16" s="97"/>
      <c r="MC16" s="95"/>
      <c r="MD16" s="96"/>
      <c r="ME16" s="97"/>
      <c r="MF16" s="95"/>
      <c r="MG16" s="96"/>
      <c r="MH16" s="97"/>
      <c r="MI16" s="95"/>
      <c r="MJ16" s="96"/>
      <c r="MK16" s="97"/>
      <c r="ML16" s="95"/>
      <c r="MM16" s="96"/>
      <c r="MN16" s="97"/>
      <c r="MO16" s="95"/>
      <c r="MP16" s="96"/>
      <c r="MQ16" s="97"/>
      <c r="MR16" s="95"/>
      <c r="MS16" s="96"/>
      <c r="MT16" s="97"/>
      <c r="MU16" s="95"/>
      <c r="MV16" s="96"/>
      <c r="MW16" s="97"/>
      <c r="MX16" s="95"/>
      <c r="MY16" s="98"/>
    </row>
    <row r="17" spans="2:363" ht="19.5" customHeight="1" x14ac:dyDescent="0.2">
      <c r="B17" s="149" t="str">
        <f>Donnees!$C$27</f>
        <v xml:space="preserve">Compéhension du sujet </v>
      </c>
      <c r="C17" s="99">
        <v>14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1"/>
      <c r="P17" s="92"/>
      <c r="Q17" s="90"/>
      <c r="R17" s="91"/>
      <c r="S17" s="92"/>
      <c r="T17" s="90"/>
      <c r="U17" s="91"/>
      <c r="V17" s="92"/>
      <c r="W17" s="126"/>
      <c r="X17" s="127"/>
      <c r="Y17" s="128"/>
      <c r="Z17" s="126"/>
      <c r="AA17" s="127"/>
      <c r="AB17" s="92"/>
      <c r="AC17" s="90"/>
      <c r="AD17" s="91"/>
      <c r="AE17" s="92"/>
      <c r="AF17" s="90"/>
      <c r="AG17" s="91"/>
      <c r="AH17" s="92"/>
      <c r="AI17" s="90"/>
      <c r="AJ17" s="91"/>
      <c r="AK17" s="92"/>
      <c r="AL17" s="90"/>
      <c r="AM17" s="91"/>
      <c r="AN17" s="92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1"/>
      <c r="AZ17" s="92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1"/>
      <c r="BL17" s="92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1"/>
      <c r="BX17" s="92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1"/>
      <c r="CJ17" s="92"/>
      <c r="CK17" s="90"/>
      <c r="CL17" s="91"/>
      <c r="CM17" s="92"/>
      <c r="CN17" s="90"/>
      <c r="CO17" s="93"/>
      <c r="CP17" s="89"/>
      <c r="CQ17" s="90"/>
      <c r="CR17" s="91"/>
      <c r="CS17" s="92"/>
      <c r="CT17" s="90"/>
      <c r="CU17" s="91"/>
      <c r="CV17" s="92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1"/>
      <c r="DH17" s="92"/>
      <c r="DI17" s="90"/>
      <c r="DJ17" s="91"/>
      <c r="DK17" s="92"/>
      <c r="DL17" s="90"/>
      <c r="DM17" s="91"/>
      <c r="DN17" s="128"/>
      <c r="DO17" s="126"/>
      <c r="DP17" s="127"/>
      <c r="DQ17" s="92"/>
      <c r="DR17" s="90"/>
      <c r="DS17" s="91"/>
      <c r="DT17" s="92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1"/>
      <c r="EF17" s="92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1"/>
      <c r="ER17" s="92"/>
      <c r="ES17" s="90"/>
      <c r="ET17" s="91"/>
      <c r="EU17" s="92"/>
      <c r="EV17" s="90"/>
      <c r="EW17" s="91"/>
      <c r="EX17" s="92"/>
      <c r="EY17" s="90"/>
      <c r="EZ17" s="91"/>
      <c r="FA17" s="128"/>
      <c r="FB17" s="126"/>
      <c r="FC17" s="127"/>
      <c r="FD17" s="92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1"/>
      <c r="FP17" s="92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1"/>
      <c r="GN17" s="128"/>
      <c r="GO17" s="126"/>
      <c r="GP17" s="127"/>
      <c r="GQ17" s="92"/>
      <c r="GR17" s="90"/>
      <c r="GS17" s="91"/>
      <c r="GT17" s="92"/>
      <c r="GU17" s="90"/>
      <c r="GV17" s="91"/>
      <c r="GW17" s="92"/>
      <c r="GX17" s="90"/>
      <c r="GY17" s="91"/>
      <c r="GZ17" s="92"/>
      <c r="HA17" s="90"/>
      <c r="HB17" s="91"/>
      <c r="HC17" s="92"/>
      <c r="HD17" s="90"/>
      <c r="HE17" s="91"/>
      <c r="HF17" s="92"/>
      <c r="HG17" s="90"/>
      <c r="HH17" s="91"/>
      <c r="HI17" s="92"/>
      <c r="HJ17" s="90"/>
      <c r="HK17" s="91"/>
      <c r="HL17" s="92"/>
      <c r="HM17" s="90"/>
      <c r="HN17" s="91"/>
      <c r="HO17" s="92"/>
      <c r="HP17" s="90"/>
      <c r="HQ17" s="91"/>
      <c r="HR17" s="92"/>
      <c r="HS17" s="90"/>
      <c r="HT17" s="91"/>
      <c r="HU17" s="92"/>
      <c r="HV17" s="90"/>
      <c r="HW17" s="91"/>
      <c r="HX17" s="92"/>
      <c r="HY17" s="90"/>
      <c r="HZ17" s="91"/>
      <c r="IA17" s="92"/>
      <c r="IB17" s="90"/>
      <c r="IC17" s="91"/>
      <c r="ID17" s="92"/>
      <c r="IE17" s="90"/>
      <c r="IF17" s="91"/>
      <c r="IG17" s="92"/>
      <c r="IH17" s="90"/>
      <c r="II17" s="91"/>
      <c r="IJ17" s="92"/>
      <c r="IK17" s="90"/>
      <c r="IL17" s="91"/>
      <c r="IM17" s="92"/>
      <c r="IN17" s="90"/>
      <c r="IO17" s="91"/>
      <c r="IP17" s="92"/>
      <c r="IQ17" s="90"/>
      <c r="IR17" s="91"/>
      <c r="IS17" s="92"/>
      <c r="IT17" s="90"/>
      <c r="IU17" s="91"/>
      <c r="IV17" s="92"/>
      <c r="IW17" s="90"/>
      <c r="IX17" s="91"/>
      <c r="IY17" s="92"/>
      <c r="IZ17" s="90"/>
      <c r="JA17" s="91"/>
      <c r="JB17" s="92"/>
      <c r="JC17" s="90"/>
      <c r="JD17" s="91"/>
      <c r="JE17" s="92"/>
      <c r="JF17" s="90"/>
      <c r="JG17" s="91"/>
      <c r="JH17" s="92"/>
      <c r="JI17" s="90"/>
      <c r="JJ17" s="91"/>
      <c r="JK17" s="92"/>
      <c r="JL17" s="90"/>
      <c r="JM17" s="93"/>
      <c r="JN17" s="89"/>
      <c r="JO17" s="90"/>
      <c r="JP17" s="91"/>
      <c r="JQ17" s="92"/>
      <c r="JR17" s="90"/>
      <c r="JS17" s="91"/>
      <c r="JT17" s="92"/>
      <c r="JU17" s="90"/>
      <c r="JV17" s="91"/>
      <c r="JW17" s="92"/>
      <c r="JX17" s="90"/>
      <c r="JY17" s="91"/>
      <c r="JZ17" s="92"/>
      <c r="KA17" s="90"/>
      <c r="KB17" s="91"/>
      <c r="KC17" s="92"/>
      <c r="KD17" s="90"/>
      <c r="KE17" s="91"/>
      <c r="KF17" s="92"/>
      <c r="KG17" s="90"/>
      <c r="KH17" s="91"/>
      <c r="KI17" s="92"/>
      <c r="KJ17" s="90"/>
      <c r="KK17" s="91"/>
      <c r="KL17" s="92"/>
      <c r="KM17" s="90"/>
      <c r="KN17" s="91"/>
      <c r="KO17" s="92"/>
      <c r="KP17" s="90"/>
      <c r="KQ17" s="91"/>
      <c r="KR17" s="92"/>
      <c r="KS17" s="90"/>
      <c r="KT17" s="91"/>
      <c r="KU17" s="92"/>
      <c r="KV17" s="90"/>
      <c r="KW17" s="91"/>
      <c r="KX17" s="92"/>
      <c r="KY17" s="90"/>
      <c r="KZ17" s="91"/>
      <c r="LA17" s="92"/>
      <c r="LB17" s="90"/>
      <c r="LC17" s="91"/>
      <c r="LD17" s="92"/>
      <c r="LE17" s="90"/>
      <c r="LF17" s="91"/>
      <c r="LG17" s="92"/>
      <c r="LH17" s="90"/>
      <c r="LI17" s="91"/>
      <c r="LJ17" s="92"/>
      <c r="LK17" s="90"/>
      <c r="LL17" s="91"/>
      <c r="LM17" s="92"/>
      <c r="LN17" s="90"/>
      <c r="LO17" s="91"/>
      <c r="LP17" s="92"/>
      <c r="LQ17" s="90"/>
      <c r="LR17" s="91"/>
      <c r="LS17" s="92"/>
      <c r="LT17" s="90"/>
      <c r="LU17" s="91"/>
      <c r="LV17" s="92"/>
      <c r="LW17" s="90"/>
      <c r="LX17" s="91"/>
      <c r="LY17" s="92"/>
      <c r="LZ17" s="90"/>
      <c r="MA17" s="91"/>
      <c r="MB17" s="92"/>
      <c r="MC17" s="90"/>
      <c r="MD17" s="91"/>
      <c r="ME17" s="92"/>
      <c r="MF17" s="90"/>
      <c r="MG17" s="91"/>
      <c r="MH17" s="92"/>
      <c r="MI17" s="90"/>
      <c r="MJ17" s="91"/>
      <c r="MK17" s="92"/>
      <c r="ML17" s="90"/>
      <c r="MM17" s="91"/>
      <c r="MN17" s="92"/>
      <c r="MO17" s="90"/>
      <c r="MP17" s="91"/>
      <c r="MQ17" s="92"/>
      <c r="MR17" s="90"/>
      <c r="MS17" s="91"/>
      <c r="MT17" s="92"/>
      <c r="MU17" s="90"/>
      <c r="MV17" s="91"/>
      <c r="MW17" s="92"/>
      <c r="MX17" s="90"/>
      <c r="MY17" s="93"/>
    </row>
    <row r="18" spans="2:363" ht="19.5" customHeight="1" thickBot="1" x14ac:dyDescent="0.25">
      <c r="B18" s="150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6"/>
      <c r="P18" s="97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6"/>
      <c r="AB18" s="97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6"/>
      <c r="AN18" s="97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6"/>
      <c r="AZ18" s="97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6"/>
      <c r="BL18" s="97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6"/>
      <c r="BX18" s="97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6"/>
      <c r="CJ18" s="97"/>
      <c r="CK18" s="95"/>
      <c r="CL18" s="96"/>
      <c r="CM18" s="97"/>
      <c r="CN18" s="95"/>
      <c r="CO18" s="98"/>
      <c r="CP18" s="94"/>
      <c r="CQ18" s="95"/>
      <c r="CR18" s="96"/>
      <c r="CS18" s="97"/>
      <c r="CT18" s="95"/>
      <c r="CU18" s="96"/>
      <c r="CV18" s="97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6"/>
      <c r="DH18" s="97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6"/>
      <c r="DT18" s="97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6"/>
      <c r="EF18" s="97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6"/>
      <c r="ER18" s="97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6"/>
      <c r="FD18" s="97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6"/>
      <c r="FP18" s="97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6"/>
      <c r="GN18" s="97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6"/>
      <c r="GZ18" s="97"/>
      <c r="HA18" s="95"/>
      <c r="HB18" s="96"/>
      <c r="HC18" s="97"/>
      <c r="HD18" s="95"/>
      <c r="HE18" s="96"/>
      <c r="HF18" s="97"/>
      <c r="HG18" s="95"/>
      <c r="HH18" s="96"/>
      <c r="HI18" s="97"/>
      <c r="HJ18" s="95"/>
      <c r="HK18" s="96"/>
      <c r="HL18" s="97"/>
      <c r="HM18" s="95"/>
      <c r="HN18" s="96"/>
      <c r="HO18" s="97"/>
      <c r="HP18" s="95"/>
      <c r="HQ18" s="96"/>
      <c r="HR18" s="97"/>
      <c r="HS18" s="95"/>
      <c r="HT18" s="96"/>
      <c r="HU18" s="97"/>
      <c r="HV18" s="95"/>
      <c r="HW18" s="96"/>
      <c r="HX18" s="97"/>
      <c r="HY18" s="95"/>
      <c r="HZ18" s="96"/>
      <c r="IA18" s="97"/>
      <c r="IB18" s="95"/>
      <c r="IC18" s="96"/>
      <c r="ID18" s="97"/>
      <c r="IE18" s="95"/>
      <c r="IF18" s="96"/>
      <c r="IG18" s="97"/>
      <c r="IH18" s="95"/>
      <c r="II18" s="96"/>
      <c r="IJ18" s="97"/>
      <c r="IK18" s="95"/>
      <c r="IL18" s="96"/>
      <c r="IM18" s="97"/>
      <c r="IN18" s="95"/>
      <c r="IO18" s="96"/>
      <c r="IP18" s="97"/>
      <c r="IQ18" s="95"/>
      <c r="IR18" s="96"/>
      <c r="IS18" s="97"/>
      <c r="IT18" s="95"/>
      <c r="IU18" s="96"/>
      <c r="IV18" s="97"/>
      <c r="IW18" s="95"/>
      <c r="IX18" s="96"/>
      <c r="IY18" s="97"/>
      <c r="IZ18" s="95"/>
      <c r="JA18" s="96"/>
      <c r="JB18" s="97"/>
      <c r="JC18" s="95"/>
      <c r="JD18" s="96"/>
      <c r="JE18" s="97"/>
      <c r="JF18" s="95"/>
      <c r="JG18" s="96"/>
      <c r="JH18" s="97"/>
      <c r="JI18" s="95"/>
      <c r="JJ18" s="96"/>
      <c r="JK18" s="97"/>
      <c r="JL18" s="95"/>
      <c r="JM18" s="98"/>
      <c r="JN18" s="94"/>
      <c r="JO18" s="95"/>
      <c r="JP18" s="96"/>
      <c r="JQ18" s="97"/>
      <c r="JR18" s="95"/>
      <c r="JS18" s="96"/>
      <c r="JT18" s="97"/>
      <c r="JU18" s="95"/>
      <c r="JV18" s="96"/>
      <c r="JW18" s="97"/>
      <c r="JX18" s="95"/>
      <c r="JY18" s="96"/>
      <c r="JZ18" s="97"/>
      <c r="KA18" s="95"/>
      <c r="KB18" s="96"/>
      <c r="KC18" s="97"/>
      <c r="KD18" s="95"/>
      <c r="KE18" s="96"/>
      <c r="KF18" s="97"/>
      <c r="KG18" s="95"/>
      <c r="KH18" s="96"/>
      <c r="KI18" s="97"/>
      <c r="KJ18" s="95"/>
      <c r="KK18" s="96"/>
      <c r="KL18" s="97"/>
      <c r="KM18" s="95"/>
      <c r="KN18" s="96"/>
      <c r="KO18" s="97"/>
      <c r="KP18" s="95"/>
      <c r="KQ18" s="96"/>
      <c r="KR18" s="97"/>
      <c r="KS18" s="95"/>
      <c r="KT18" s="96"/>
      <c r="KU18" s="97"/>
      <c r="KV18" s="95"/>
      <c r="KW18" s="96"/>
      <c r="KX18" s="97"/>
      <c r="KY18" s="95"/>
      <c r="KZ18" s="96"/>
      <c r="LA18" s="97"/>
      <c r="LB18" s="95"/>
      <c r="LC18" s="96"/>
      <c r="LD18" s="97"/>
      <c r="LE18" s="95"/>
      <c r="LF18" s="96"/>
      <c r="LG18" s="97"/>
      <c r="LH18" s="95"/>
      <c r="LI18" s="96"/>
      <c r="LJ18" s="97"/>
      <c r="LK18" s="95"/>
      <c r="LL18" s="96"/>
      <c r="LM18" s="97"/>
      <c r="LN18" s="95"/>
      <c r="LO18" s="96"/>
      <c r="LP18" s="97"/>
      <c r="LQ18" s="95"/>
      <c r="LR18" s="96"/>
      <c r="LS18" s="97"/>
      <c r="LT18" s="95"/>
      <c r="LU18" s="96"/>
      <c r="LV18" s="97"/>
      <c r="LW18" s="95"/>
      <c r="LX18" s="96"/>
      <c r="LY18" s="97"/>
      <c r="LZ18" s="95"/>
      <c r="MA18" s="96"/>
      <c r="MB18" s="97"/>
      <c r="MC18" s="95"/>
      <c r="MD18" s="96"/>
      <c r="ME18" s="97"/>
      <c r="MF18" s="95"/>
      <c r="MG18" s="96"/>
      <c r="MH18" s="97"/>
      <c r="MI18" s="95"/>
      <c r="MJ18" s="96"/>
      <c r="MK18" s="97"/>
      <c r="ML18" s="95"/>
      <c r="MM18" s="96"/>
      <c r="MN18" s="97"/>
      <c r="MO18" s="95"/>
      <c r="MP18" s="96"/>
      <c r="MQ18" s="97"/>
      <c r="MR18" s="95"/>
      <c r="MS18" s="96"/>
      <c r="MT18" s="97"/>
      <c r="MU18" s="95"/>
      <c r="MV18" s="96"/>
      <c r="MW18" s="97"/>
      <c r="MX18" s="95"/>
      <c r="MY18" s="98"/>
    </row>
    <row r="19" spans="2:363" ht="19.5" customHeight="1" x14ac:dyDescent="0.2">
      <c r="B19" s="149" t="str">
        <f>Donnees!$C$28</f>
        <v>Libre</v>
      </c>
      <c r="C19" s="99">
        <v>33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1"/>
      <c r="P19" s="92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1"/>
      <c r="AB19" s="92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1"/>
      <c r="AN19" s="92"/>
      <c r="AO19" s="90"/>
      <c r="AP19" s="91"/>
      <c r="AQ19" s="92"/>
      <c r="AR19" s="90"/>
      <c r="AS19" s="91"/>
      <c r="AT19" s="92"/>
      <c r="AU19" s="90"/>
      <c r="AV19" s="91"/>
      <c r="AW19" s="92"/>
      <c r="AX19" s="90"/>
      <c r="AY19" s="91"/>
      <c r="AZ19" s="92"/>
      <c r="BA19" s="90"/>
      <c r="BB19" s="91"/>
      <c r="BC19" s="92"/>
      <c r="BD19" s="90"/>
      <c r="BE19" s="91"/>
      <c r="BF19" s="92"/>
      <c r="BG19" s="90"/>
      <c r="BH19" s="91"/>
      <c r="BI19" s="92"/>
      <c r="BJ19" s="90"/>
      <c r="BK19" s="91"/>
      <c r="BL19" s="92"/>
      <c r="BM19" s="90"/>
      <c r="BN19" s="91"/>
      <c r="BO19" s="92"/>
      <c r="BP19" s="90"/>
      <c r="BQ19" s="91"/>
      <c r="BR19" s="92"/>
      <c r="BS19" s="90"/>
      <c r="BT19" s="91"/>
      <c r="BU19" s="92"/>
      <c r="BV19" s="90"/>
      <c r="BW19" s="91"/>
      <c r="BX19" s="92"/>
      <c r="BY19" s="90"/>
      <c r="BZ19" s="91"/>
      <c r="CA19" s="92"/>
      <c r="CB19" s="90"/>
      <c r="CC19" s="91"/>
      <c r="CD19" s="92"/>
      <c r="CE19" s="90"/>
      <c r="CF19" s="91"/>
      <c r="CG19" s="128"/>
      <c r="CH19" s="126"/>
      <c r="CI19" s="127"/>
      <c r="CJ19" s="128"/>
      <c r="CK19" s="126"/>
      <c r="CL19" s="127"/>
      <c r="CM19" s="128"/>
      <c r="CN19" s="126"/>
      <c r="CO19" s="129"/>
      <c r="CP19" s="89"/>
      <c r="CQ19" s="90"/>
      <c r="CR19" s="91"/>
      <c r="CS19" s="92"/>
      <c r="CT19" s="90"/>
      <c r="CU19" s="91"/>
      <c r="CV19" s="92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1"/>
      <c r="DH19" s="92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1"/>
      <c r="DT19" s="92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1"/>
      <c r="EF19" s="92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1"/>
      <c r="ER19" s="92"/>
      <c r="ES19" s="90"/>
      <c r="ET19" s="91"/>
      <c r="EU19" s="92"/>
      <c r="EV19" s="90"/>
      <c r="EW19" s="91"/>
      <c r="EX19" s="128"/>
      <c r="EY19" s="126"/>
      <c r="EZ19" s="127"/>
      <c r="FA19" s="92"/>
      <c r="FB19" s="90"/>
      <c r="FC19" s="91"/>
      <c r="FD19" s="92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1"/>
      <c r="FP19" s="92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128"/>
      <c r="GL19" s="126"/>
      <c r="GM19" s="127"/>
      <c r="GN19" s="92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1"/>
      <c r="GZ19" s="92"/>
      <c r="HA19" s="90"/>
      <c r="HB19" s="91"/>
      <c r="HC19" s="92"/>
      <c r="HD19" s="90"/>
      <c r="HE19" s="91"/>
      <c r="HF19" s="92"/>
      <c r="HG19" s="90"/>
      <c r="HH19" s="91"/>
      <c r="HI19" s="92"/>
      <c r="HJ19" s="90"/>
      <c r="HK19" s="91"/>
      <c r="HL19" s="92"/>
      <c r="HM19" s="90"/>
      <c r="HN19" s="91"/>
      <c r="HO19" s="92"/>
      <c r="HP19" s="90"/>
      <c r="HQ19" s="91"/>
      <c r="HR19" s="92"/>
      <c r="HS19" s="90"/>
      <c r="HT19" s="91"/>
      <c r="HU19" s="92"/>
      <c r="HV19" s="90"/>
      <c r="HW19" s="91"/>
      <c r="HX19" s="92"/>
      <c r="HY19" s="90"/>
      <c r="HZ19" s="91"/>
      <c r="IA19" s="128"/>
      <c r="IB19" s="126"/>
      <c r="IC19" s="127"/>
      <c r="ID19" s="128"/>
      <c r="IE19" s="126"/>
      <c r="IF19" s="127"/>
      <c r="IG19" s="128"/>
      <c r="IH19" s="126"/>
      <c r="II19" s="127"/>
      <c r="IJ19" s="128"/>
      <c r="IK19" s="126"/>
      <c r="IL19" s="127"/>
      <c r="IM19" s="92"/>
      <c r="IN19" s="90"/>
      <c r="IO19" s="91"/>
      <c r="IP19" s="92"/>
      <c r="IQ19" s="90"/>
      <c r="IR19" s="91"/>
      <c r="IS19" s="92"/>
      <c r="IT19" s="90"/>
      <c r="IU19" s="91"/>
      <c r="IV19" s="92"/>
      <c r="IW19" s="90"/>
      <c r="IX19" s="91"/>
      <c r="IY19" s="92"/>
      <c r="IZ19" s="90"/>
      <c r="JA19" s="91"/>
      <c r="JB19" s="92"/>
      <c r="JC19" s="90"/>
      <c r="JD19" s="91"/>
      <c r="JE19" s="92"/>
      <c r="JF19" s="90"/>
      <c r="JG19" s="91"/>
      <c r="JH19" s="128"/>
      <c r="JI19" s="126"/>
      <c r="JJ19" s="127"/>
      <c r="JK19" s="128"/>
      <c r="JL19" s="126"/>
      <c r="JM19" s="129"/>
      <c r="JN19" s="89"/>
      <c r="JO19" s="90"/>
      <c r="JP19" s="91"/>
      <c r="JQ19" s="92"/>
      <c r="JR19" s="90"/>
      <c r="JS19" s="91"/>
      <c r="JT19" s="92"/>
      <c r="JU19" s="90"/>
      <c r="JV19" s="91"/>
      <c r="JW19" s="92"/>
      <c r="JX19" s="90"/>
      <c r="JY19" s="91"/>
      <c r="JZ19" s="92"/>
      <c r="KA19" s="90"/>
      <c r="KB19" s="91"/>
      <c r="KC19" s="92"/>
      <c r="KD19" s="90"/>
      <c r="KE19" s="91"/>
      <c r="KF19" s="92"/>
      <c r="KG19" s="90"/>
      <c r="KH19" s="91"/>
      <c r="KI19" s="92"/>
      <c r="KJ19" s="90"/>
      <c r="KK19" s="91"/>
      <c r="KL19" s="92"/>
      <c r="KM19" s="90"/>
      <c r="KN19" s="91"/>
      <c r="KO19" s="92"/>
      <c r="KP19" s="90"/>
      <c r="KQ19" s="91"/>
      <c r="KR19" s="92"/>
      <c r="KS19" s="90"/>
      <c r="KT19" s="91"/>
      <c r="KU19" s="92"/>
      <c r="KV19" s="90"/>
      <c r="KW19" s="91"/>
      <c r="KX19" s="92"/>
      <c r="KY19" s="90"/>
      <c r="KZ19" s="91"/>
      <c r="LA19" s="92"/>
      <c r="LB19" s="90"/>
      <c r="LC19" s="91"/>
      <c r="LD19" s="92"/>
      <c r="LE19" s="90"/>
      <c r="LF19" s="91"/>
      <c r="LG19" s="92"/>
      <c r="LH19" s="90"/>
      <c r="LI19" s="91"/>
      <c r="LJ19" s="92"/>
      <c r="LK19" s="90"/>
      <c r="LL19" s="91"/>
      <c r="LM19" s="92"/>
      <c r="LN19" s="90"/>
      <c r="LO19" s="91"/>
      <c r="LP19" s="92"/>
      <c r="LQ19" s="90"/>
      <c r="LR19" s="91"/>
      <c r="LS19" s="92"/>
      <c r="LT19" s="90"/>
      <c r="LU19" s="91"/>
      <c r="LV19" s="92"/>
      <c r="LW19" s="90"/>
      <c r="LX19" s="91"/>
      <c r="LY19" s="92"/>
      <c r="LZ19" s="90"/>
      <c r="MA19" s="91"/>
      <c r="MB19" s="92"/>
      <c r="MC19" s="90"/>
      <c r="MD19" s="91"/>
      <c r="ME19" s="92"/>
      <c r="MF19" s="90"/>
      <c r="MG19" s="91"/>
      <c r="MH19" s="92"/>
      <c r="MI19" s="90"/>
      <c r="MJ19" s="91"/>
      <c r="MK19" s="92"/>
      <c r="ML19" s="90"/>
      <c r="MM19" s="91"/>
      <c r="MN19" s="92"/>
      <c r="MO19" s="90"/>
      <c r="MP19" s="91"/>
      <c r="MQ19" s="92"/>
      <c r="MR19" s="90"/>
      <c r="MS19" s="91"/>
      <c r="MT19" s="92"/>
      <c r="MU19" s="90"/>
      <c r="MV19" s="91"/>
      <c r="MW19" s="92"/>
      <c r="MX19" s="90"/>
      <c r="MY19" s="93"/>
    </row>
    <row r="20" spans="2:363" ht="19.5" customHeight="1" thickBot="1" x14ac:dyDescent="0.25">
      <c r="B20" s="150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6"/>
      <c r="P20" s="97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6"/>
      <c r="AB20" s="97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6"/>
      <c r="AN20" s="97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6"/>
      <c r="AZ20" s="97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6"/>
      <c r="BL20" s="97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6"/>
      <c r="BX20" s="97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6"/>
      <c r="CJ20" s="97"/>
      <c r="CK20" s="95"/>
      <c r="CL20" s="96"/>
      <c r="CM20" s="97"/>
      <c r="CN20" s="95"/>
      <c r="CO20" s="98"/>
      <c r="CP20" s="94"/>
      <c r="CQ20" s="95"/>
      <c r="CR20" s="96"/>
      <c r="CS20" s="97"/>
      <c r="CT20" s="95"/>
      <c r="CU20" s="96"/>
      <c r="CV20" s="97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6"/>
      <c r="DH20" s="97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6"/>
      <c r="DT20" s="97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6"/>
      <c r="EF20" s="97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6"/>
      <c r="ER20" s="97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6"/>
      <c r="FD20" s="97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6"/>
      <c r="FP20" s="97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6"/>
      <c r="GN20" s="97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6"/>
      <c r="GZ20" s="97"/>
      <c r="HA20" s="95"/>
      <c r="HB20" s="96"/>
      <c r="HC20" s="97"/>
      <c r="HD20" s="95"/>
      <c r="HE20" s="96"/>
      <c r="HF20" s="97"/>
      <c r="HG20" s="95"/>
      <c r="HH20" s="96"/>
      <c r="HI20" s="97"/>
      <c r="HJ20" s="95"/>
      <c r="HK20" s="96"/>
      <c r="HL20" s="97"/>
      <c r="HM20" s="95"/>
      <c r="HN20" s="96"/>
      <c r="HO20" s="97"/>
      <c r="HP20" s="95"/>
      <c r="HQ20" s="96"/>
      <c r="HR20" s="97"/>
      <c r="HS20" s="95"/>
      <c r="HT20" s="96"/>
      <c r="HU20" s="97"/>
      <c r="HV20" s="95"/>
      <c r="HW20" s="96"/>
      <c r="HX20" s="97"/>
      <c r="HY20" s="95"/>
      <c r="HZ20" s="96"/>
      <c r="IA20" s="97"/>
      <c r="IB20" s="95"/>
      <c r="IC20" s="96"/>
      <c r="ID20" s="97"/>
      <c r="IE20" s="95"/>
      <c r="IF20" s="96"/>
      <c r="IG20" s="97"/>
      <c r="IH20" s="95"/>
      <c r="II20" s="96"/>
      <c r="IJ20" s="97"/>
      <c r="IK20" s="95"/>
      <c r="IL20" s="96"/>
      <c r="IM20" s="97"/>
      <c r="IN20" s="95"/>
      <c r="IO20" s="96"/>
      <c r="IP20" s="97"/>
      <c r="IQ20" s="95"/>
      <c r="IR20" s="96"/>
      <c r="IS20" s="97"/>
      <c r="IT20" s="95"/>
      <c r="IU20" s="96"/>
      <c r="IV20" s="97"/>
      <c r="IW20" s="95"/>
      <c r="IX20" s="96"/>
      <c r="IY20" s="97"/>
      <c r="IZ20" s="95"/>
      <c r="JA20" s="96"/>
      <c r="JB20" s="97"/>
      <c r="JC20" s="95"/>
      <c r="JD20" s="96"/>
      <c r="JE20" s="97"/>
      <c r="JF20" s="95"/>
      <c r="JG20" s="96"/>
      <c r="JH20" s="97"/>
      <c r="JI20" s="95"/>
      <c r="JJ20" s="96"/>
      <c r="JK20" s="97"/>
      <c r="JL20" s="95"/>
      <c r="JM20" s="98"/>
      <c r="JN20" s="94"/>
      <c r="JO20" s="95"/>
      <c r="JP20" s="96"/>
      <c r="JQ20" s="97"/>
      <c r="JR20" s="95"/>
      <c r="JS20" s="96"/>
      <c r="JT20" s="97"/>
      <c r="JU20" s="95"/>
      <c r="JV20" s="96"/>
      <c r="JW20" s="97"/>
      <c r="JX20" s="95"/>
      <c r="JY20" s="96"/>
      <c r="JZ20" s="97"/>
      <c r="KA20" s="95"/>
      <c r="KB20" s="96"/>
      <c r="KC20" s="97"/>
      <c r="KD20" s="95"/>
      <c r="KE20" s="96"/>
      <c r="KF20" s="97"/>
      <c r="KG20" s="95"/>
      <c r="KH20" s="96"/>
      <c r="KI20" s="97"/>
      <c r="KJ20" s="95"/>
      <c r="KK20" s="96"/>
      <c r="KL20" s="97"/>
      <c r="KM20" s="95"/>
      <c r="KN20" s="96"/>
      <c r="KO20" s="97"/>
      <c r="KP20" s="95"/>
      <c r="KQ20" s="96"/>
      <c r="KR20" s="97"/>
      <c r="KS20" s="95"/>
      <c r="KT20" s="96"/>
      <c r="KU20" s="97"/>
      <c r="KV20" s="95"/>
      <c r="KW20" s="96"/>
      <c r="KX20" s="97"/>
      <c r="KY20" s="95"/>
      <c r="KZ20" s="96"/>
      <c r="LA20" s="97"/>
      <c r="LB20" s="95"/>
      <c r="LC20" s="96"/>
      <c r="LD20" s="97"/>
      <c r="LE20" s="95"/>
      <c r="LF20" s="96"/>
      <c r="LG20" s="97"/>
      <c r="LH20" s="95"/>
      <c r="LI20" s="96"/>
      <c r="LJ20" s="97"/>
      <c r="LK20" s="95"/>
      <c r="LL20" s="96"/>
      <c r="LM20" s="97"/>
      <c r="LN20" s="95"/>
      <c r="LO20" s="96"/>
      <c r="LP20" s="97"/>
      <c r="LQ20" s="95"/>
      <c r="LR20" s="96"/>
      <c r="LS20" s="97"/>
      <c r="LT20" s="95"/>
      <c r="LU20" s="96"/>
      <c r="LV20" s="97"/>
      <c r="LW20" s="95"/>
      <c r="LX20" s="96"/>
      <c r="LY20" s="97"/>
      <c r="LZ20" s="95"/>
      <c r="MA20" s="96"/>
      <c r="MB20" s="97"/>
      <c r="MC20" s="95"/>
      <c r="MD20" s="96"/>
      <c r="ME20" s="97"/>
      <c r="MF20" s="95"/>
      <c r="MG20" s="96"/>
      <c r="MH20" s="97"/>
      <c r="MI20" s="95"/>
      <c r="MJ20" s="96"/>
      <c r="MK20" s="97"/>
      <c r="ML20" s="95"/>
      <c r="MM20" s="96"/>
      <c r="MN20" s="97"/>
      <c r="MO20" s="95"/>
      <c r="MP20" s="96"/>
      <c r="MQ20" s="97"/>
      <c r="MR20" s="95"/>
      <c r="MS20" s="96"/>
      <c r="MT20" s="97"/>
      <c r="MU20" s="95"/>
      <c r="MV20" s="96"/>
      <c r="MW20" s="97"/>
      <c r="MX20" s="95"/>
      <c r="MY20" s="98"/>
    </row>
    <row r="21" spans="2:363" ht="19.5" customHeight="1" x14ac:dyDescent="0.2">
      <c r="B21" s="149" t="str">
        <f>Donnees!$C$29</f>
        <v>Git</v>
      </c>
      <c r="C21" s="99">
        <v>1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1"/>
      <c r="P21" s="92"/>
      <c r="Q21" s="90"/>
      <c r="R21" s="91"/>
      <c r="S21" s="92"/>
      <c r="T21" s="90"/>
      <c r="U21" s="91"/>
      <c r="V21" s="128"/>
      <c r="W21" s="90"/>
      <c r="X21" s="91"/>
      <c r="Y21" s="92"/>
      <c r="Z21" s="90"/>
      <c r="AA21" s="91"/>
      <c r="AB21" s="92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1"/>
      <c r="AN21" s="92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1"/>
      <c r="AZ21" s="92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1"/>
      <c r="BL21" s="92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1"/>
      <c r="BX21" s="92"/>
      <c r="BY21" s="90"/>
      <c r="BZ21" s="91"/>
      <c r="CA21" s="92"/>
      <c r="CB21" s="90"/>
      <c r="CC21" s="91"/>
      <c r="CD21" s="92"/>
      <c r="CE21" s="90"/>
      <c r="CF21" s="91"/>
      <c r="CG21" s="92"/>
      <c r="CH21" s="90"/>
      <c r="CI21" s="91"/>
      <c r="CJ21" s="92"/>
      <c r="CK21" s="90"/>
      <c r="CL21" s="91"/>
      <c r="CM21" s="92"/>
      <c r="CN21" s="90"/>
      <c r="CO21" s="93"/>
      <c r="CP21" s="89"/>
      <c r="CQ21" s="90"/>
      <c r="CR21" s="91"/>
      <c r="CS21" s="92"/>
      <c r="CT21" s="90"/>
      <c r="CU21" s="91"/>
      <c r="CV21" s="92"/>
      <c r="CW21" s="90"/>
      <c r="CX21" s="91"/>
      <c r="CY21" s="92"/>
      <c r="CZ21" s="90"/>
      <c r="DA21" s="91"/>
      <c r="DB21" s="92"/>
      <c r="DC21" s="90"/>
      <c r="DD21" s="91"/>
      <c r="DE21" s="92"/>
      <c r="DF21" s="90"/>
      <c r="DG21" s="91"/>
      <c r="DH21" s="92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1"/>
      <c r="DT21" s="92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1"/>
      <c r="EF21" s="92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1"/>
      <c r="ER21" s="92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1"/>
      <c r="FD21" s="92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1"/>
      <c r="FP21" s="92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1"/>
      <c r="GN21" s="92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1"/>
      <c r="GZ21" s="92"/>
      <c r="HA21" s="90"/>
      <c r="HB21" s="91"/>
      <c r="HC21" s="92"/>
      <c r="HD21" s="90"/>
      <c r="HE21" s="91"/>
      <c r="HF21" s="92"/>
      <c r="HG21" s="90"/>
      <c r="HH21" s="91"/>
      <c r="HI21" s="92"/>
      <c r="HJ21" s="90"/>
      <c r="HK21" s="91"/>
      <c r="HL21" s="92"/>
      <c r="HM21" s="90"/>
      <c r="HN21" s="91"/>
      <c r="HO21" s="92"/>
      <c r="HP21" s="90"/>
      <c r="HQ21" s="91"/>
      <c r="HR21" s="92"/>
      <c r="HS21" s="90"/>
      <c r="HT21" s="91"/>
      <c r="HU21" s="92"/>
      <c r="HV21" s="90"/>
      <c r="HW21" s="91"/>
      <c r="HX21" s="92"/>
      <c r="HY21" s="90"/>
      <c r="HZ21" s="91"/>
      <c r="IA21" s="92"/>
      <c r="IB21" s="90"/>
      <c r="IC21" s="91"/>
      <c r="ID21" s="92"/>
      <c r="IE21" s="90"/>
      <c r="IF21" s="91"/>
      <c r="IG21" s="92"/>
      <c r="IH21" s="90"/>
      <c r="II21" s="91"/>
      <c r="IJ21" s="92"/>
      <c r="IK21" s="90"/>
      <c r="IL21" s="91"/>
      <c r="IM21" s="92"/>
      <c r="IN21" s="90"/>
      <c r="IO21" s="91"/>
      <c r="IP21" s="92"/>
      <c r="IQ21" s="90"/>
      <c r="IR21" s="91"/>
      <c r="IS21" s="92"/>
      <c r="IT21" s="90"/>
      <c r="IU21" s="91"/>
      <c r="IV21" s="92"/>
      <c r="IW21" s="90"/>
      <c r="IX21" s="91"/>
      <c r="IY21" s="92"/>
      <c r="IZ21" s="90"/>
      <c r="JA21" s="91"/>
      <c r="JB21" s="92"/>
      <c r="JC21" s="90"/>
      <c r="JD21" s="91"/>
      <c r="JE21" s="92"/>
      <c r="JF21" s="90"/>
      <c r="JG21" s="91"/>
      <c r="JH21" s="92"/>
      <c r="JI21" s="90"/>
      <c r="JJ21" s="91"/>
      <c r="JK21" s="92"/>
      <c r="JL21" s="90"/>
      <c r="JM21" s="93"/>
      <c r="JN21" s="89"/>
      <c r="JO21" s="90"/>
      <c r="JP21" s="91"/>
      <c r="JQ21" s="92"/>
      <c r="JR21" s="90"/>
      <c r="JS21" s="91"/>
      <c r="JT21" s="92"/>
      <c r="JU21" s="90"/>
      <c r="JV21" s="91"/>
      <c r="JW21" s="92"/>
      <c r="JX21" s="90"/>
      <c r="JY21" s="91"/>
      <c r="JZ21" s="92"/>
      <c r="KA21" s="90"/>
      <c r="KB21" s="91"/>
      <c r="KC21" s="92"/>
      <c r="KD21" s="90"/>
      <c r="KE21" s="91"/>
      <c r="KF21" s="92"/>
      <c r="KG21" s="90"/>
      <c r="KH21" s="91"/>
      <c r="KI21" s="92"/>
      <c r="KJ21" s="90"/>
      <c r="KK21" s="91"/>
      <c r="KL21" s="92"/>
      <c r="KM21" s="90"/>
      <c r="KN21" s="91"/>
      <c r="KO21" s="92"/>
      <c r="KP21" s="90"/>
      <c r="KQ21" s="91"/>
      <c r="KR21" s="92"/>
      <c r="KS21" s="90"/>
      <c r="KT21" s="91"/>
      <c r="KU21" s="92"/>
      <c r="KV21" s="90"/>
      <c r="KW21" s="91"/>
      <c r="KX21" s="92"/>
      <c r="KY21" s="90"/>
      <c r="KZ21" s="91"/>
      <c r="LA21" s="92"/>
      <c r="LB21" s="90"/>
      <c r="LC21" s="91"/>
      <c r="LD21" s="92"/>
      <c r="LE21" s="90"/>
      <c r="LF21" s="91"/>
      <c r="LG21" s="92"/>
      <c r="LH21" s="90"/>
      <c r="LI21" s="91"/>
      <c r="LJ21" s="92"/>
      <c r="LK21" s="90"/>
      <c r="LL21" s="91"/>
      <c r="LM21" s="92"/>
      <c r="LN21" s="90"/>
      <c r="LO21" s="91"/>
      <c r="LP21" s="92"/>
      <c r="LQ21" s="90"/>
      <c r="LR21" s="91"/>
      <c r="LS21" s="92"/>
      <c r="LT21" s="90"/>
      <c r="LU21" s="91"/>
      <c r="LV21" s="92"/>
      <c r="LW21" s="90"/>
      <c r="LX21" s="91"/>
      <c r="LY21" s="92"/>
      <c r="LZ21" s="90"/>
      <c r="MA21" s="91"/>
      <c r="MB21" s="92"/>
      <c r="MC21" s="90"/>
      <c r="MD21" s="91"/>
      <c r="ME21" s="92"/>
      <c r="MF21" s="90"/>
      <c r="MG21" s="91"/>
      <c r="MH21" s="92"/>
      <c r="MI21" s="90"/>
      <c r="MJ21" s="91"/>
      <c r="MK21" s="92"/>
      <c r="ML21" s="90"/>
      <c r="MM21" s="91"/>
      <c r="MN21" s="92"/>
      <c r="MO21" s="90"/>
      <c r="MP21" s="91"/>
      <c r="MQ21" s="92"/>
      <c r="MR21" s="90"/>
      <c r="MS21" s="91"/>
      <c r="MT21" s="92"/>
      <c r="MU21" s="90"/>
      <c r="MV21" s="91"/>
      <c r="MW21" s="92"/>
      <c r="MX21" s="90"/>
      <c r="MY21" s="93"/>
    </row>
    <row r="22" spans="2:363" ht="19.5" customHeight="1" thickBot="1" x14ac:dyDescent="0.25">
      <c r="B22" s="150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6"/>
      <c r="P22" s="97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6"/>
      <c r="AB22" s="97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6"/>
      <c r="AN22" s="97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6"/>
      <c r="AZ22" s="97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6"/>
      <c r="BL22" s="97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6"/>
      <c r="BX22" s="97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6"/>
      <c r="CJ22" s="97"/>
      <c r="CK22" s="95"/>
      <c r="CL22" s="96"/>
      <c r="CM22" s="97"/>
      <c r="CN22" s="95"/>
      <c r="CO22" s="98"/>
      <c r="CP22" s="94"/>
      <c r="CQ22" s="95"/>
      <c r="CR22" s="96"/>
      <c r="CS22" s="97"/>
      <c r="CT22" s="95"/>
      <c r="CU22" s="96"/>
      <c r="CV22" s="97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6"/>
      <c r="DH22" s="97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6"/>
      <c r="DT22" s="97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6"/>
      <c r="EF22" s="97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6"/>
      <c r="ER22" s="97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6"/>
      <c r="FD22" s="97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6"/>
      <c r="FP22" s="97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6"/>
      <c r="GN22" s="97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6"/>
      <c r="GZ22" s="97"/>
      <c r="HA22" s="95"/>
      <c r="HB22" s="96"/>
      <c r="HC22" s="97"/>
      <c r="HD22" s="95"/>
      <c r="HE22" s="96"/>
      <c r="HF22" s="97"/>
      <c r="HG22" s="95"/>
      <c r="HH22" s="96"/>
      <c r="HI22" s="97"/>
      <c r="HJ22" s="95"/>
      <c r="HK22" s="96"/>
      <c r="HL22" s="97"/>
      <c r="HM22" s="95"/>
      <c r="HN22" s="96"/>
      <c r="HO22" s="97"/>
      <c r="HP22" s="95"/>
      <c r="HQ22" s="96"/>
      <c r="HR22" s="97"/>
      <c r="HS22" s="95"/>
      <c r="HT22" s="96"/>
      <c r="HU22" s="97"/>
      <c r="HV22" s="95"/>
      <c r="HW22" s="96"/>
      <c r="HX22" s="97"/>
      <c r="HY22" s="95"/>
      <c r="HZ22" s="96"/>
      <c r="IA22" s="97"/>
      <c r="IB22" s="95"/>
      <c r="IC22" s="96"/>
      <c r="ID22" s="97"/>
      <c r="IE22" s="95"/>
      <c r="IF22" s="96"/>
      <c r="IG22" s="97"/>
      <c r="IH22" s="95"/>
      <c r="II22" s="96"/>
      <c r="IJ22" s="97"/>
      <c r="IK22" s="95"/>
      <c r="IL22" s="96"/>
      <c r="IM22" s="97"/>
      <c r="IN22" s="95"/>
      <c r="IO22" s="96"/>
      <c r="IP22" s="97"/>
      <c r="IQ22" s="95"/>
      <c r="IR22" s="96"/>
      <c r="IS22" s="97"/>
      <c r="IT22" s="95"/>
      <c r="IU22" s="96"/>
      <c r="IV22" s="97"/>
      <c r="IW22" s="95"/>
      <c r="IX22" s="96"/>
      <c r="IY22" s="97"/>
      <c r="IZ22" s="95"/>
      <c r="JA22" s="96"/>
      <c r="JB22" s="97"/>
      <c r="JC22" s="95"/>
      <c r="JD22" s="96"/>
      <c r="JE22" s="97"/>
      <c r="JF22" s="95"/>
      <c r="JG22" s="96"/>
      <c r="JH22" s="97"/>
      <c r="JI22" s="95"/>
      <c r="JJ22" s="96"/>
      <c r="JK22" s="97"/>
      <c r="JL22" s="95"/>
      <c r="JM22" s="98"/>
      <c r="JN22" s="94"/>
      <c r="JO22" s="95"/>
      <c r="JP22" s="96"/>
      <c r="JQ22" s="97"/>
      <c r="JR22" s="95"/>
      <c r="JS22" s="96"/>
      <c r="JT22" s="97"/>
      <c r="JU22" s="95"/>
      <c r="JV22" s="96"/>
      <c r="JW22" s="97"/>
      <c r="JX22" s="95"/>
      <c r="JY22" s="96"/>
      <c r="JZ22" s="97"/>
      <c r="KA22" s="95"/>
      <c r="KB22" s="96"/>
      <c r="KC22" s="97"/>
      <c r="KD22" s="95"/>
      <c r="KE22" s="96"/>
      <c r="KF22" s="97"/>
      <c r="KG22" s="95"/>
      <c r="KH22" s="96"/>
      <c r="KI22" s="97"/>
      <c r="KJ22" s="95"/>
      <c r="KK22" s="96"/>
      <c r="KL22" s="97"/>
      <c r="KM22" s="95"/>
      <c r="KN22" s="96"/>
      <c r="KO22" s="97"/>
      <c r="KP22" s="95"/>
      <c r="KQ22" s="96"/>
      <c r="KR22" s="97"/>
      <c r="KS22" s="95"/>
      <c r="KT22" s="96"/>
      <c r="KU22" s="97"/>
      <c r="KV22" s="95"/>
      <c r="KW22" s="96"/>
      <c r="KX22" s="97"/>
      <c r="KY22" s="95"/>
      <c r="KZ22" s="96"/>
      <c r="LA22" s="97"/>
      <c r="LB22" s="95"/>
      <c r="LC22" s="96"/>
      <c r="LD22" s="97"/>
      <c r="LE22" s="95"/>
      <c r="LF22" s="96"/>
      <c r="LG22" s="97"/>
      <c r="LH22" s="95"/>
      <c r="LI22" s="96"/>
      <c r="LJ22" s="97"/>
      <c r="LK22" s="95"/>
      <c r="LL22" s="96"/>
      <c r="LM22" s="97"/>
      <c r="LN22" s="95"/>
      <c r="LO22" s="96"/>
      <c r="LP22" s="97"/>
      <c r="LQ22" s="95"/>
      <c r="LR22" s="96"/>
      <c r="LS22" s="97"/>
      <c r="LT22" s="95"/>
      <c r="LU22" s="96"/>
      <c r="LV22" s="97"/>
      <c r="LW22" s="95"/>
      <c r="LX22" s="96"/>
      <c r="LY22" s="97"/>
      <c r="LZ22" s="95"/>
      <c r="MA22" s="96"/>
      <c r="MB22" s="97"/>
      <c r="MC22" s="95"/>
      <c r="MD22" s="96"/>
      <c r="ME22" s="97"/>
      <c r="MF22" s="95"/>
      <c r="MG22" s="96"/>
      <c r="MH22" s="97"/>
      <c r="MI22" s="95"/>
      <c r="MJ22" s="96"/>
      <c r="MK22" s="97"/>
      <c r="ML22" s="95"/>
      <c r="MM22" s="96"/>
      <c r="MN22" s="97"/>
      <c r="MO22" s="95"/>
      <c r="MP22" s="96"/>
      <c r="MQ22" s="97"/>
      <c r="MR22" s="95"/>
      <c r="MS22" s="96"/>
      <c r="MT22" s="97"/>
      <c r="MU22" s="95"/>
      <c r="MV22" s="96"/>
      <c r="MW22" s="97"/>
      <c r="MX22" s="95"/>
      <c r="MY22" s="98"/>
    </row>
    <row r="23" spans="2:363" ht="19.5" customHeight="1" x14ac:dyDescent="0.2">
      <c r="B23" s="149" t="str">
        <f>Donnees!$C$30</f>
        <v xml:space="preserve">Correction orthographe </v>
      </c>
      <c r="C23" s="99">
        <v>6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1"/>
      <c r="P23" s="92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1"/>
      <c r="AB23" s="92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1"/>
      <c r="AN23" s="92"/>
      <c r="AO23" s="90"/>
      <c r="AP23" s="91"/>
      <c r="AQ23" s="92"/>
      <c r="AR23" s="90"/>
      <c r="AS23" s="91"/>
      <c r="AT23" s="92"/>
      <c r="AU23" s="90"/>
      <c r="AV23" s="91"/>
      <c r="AW23" s="92"/>
      <c r="AX23" s="90"/>
      <c r="AY23" s="91"/>
      <c r="AZ23" s="92"/>
      <c r="BA23" s="90"/>
      <c r="BB23" s="91"/>
      <c r="BC23" s="92"/>
      <c r="BD23" s="90"/>
      <c r="BE23" s="91"/>
      <c r="BF23" s="92"/>
      <c r="BG23" s="90"/>
      <c r="BH23" s="91"/>
      <c r="BI23" s="92"/>
      <c r="BJ23" s="90"/>
      <c r="BK23" s="91"/>
      <c r="BL23" s="92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1"/>
      <c r="BX23" s="92"/>
      <c r="BY23" s="90"/>
      <c r="BZ23" s="91"/>
      <c r="CA23" s="92"/>
      <c r="CB23" s="90"/>
      <c r="CC23" s="91"/>
      <c r="CD23" s="92"/>
      <c r="CE23" s="90"/>
      <c r="CF23" s="91"/>
      <c r="CG23" s="92"/>
      <c r="CH23" s="90"/>
      <c r="CI23" s="91"/>
      <c r="CJ23" s="92"/>
      <c r="CK23" s="90"/>
      <c r="CL23" s="91"/>
      <c r="CM23" s="92"/>
      <c r="CN23" s="90"/>
      <c r="CO23" s="93"/>
      <c r="CP23" s="89"/>
      <c r="CQ23" s="90"/>
      <c r="CR23" s="91"/>
      <c r="CS23" s="92"/>
      <c r="CT23" s="90"/>
      <c r="CU23" s="91"/>
      <c r="CV23" s="92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1"/>
      <c r="DH23" s="92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1"/>
      <c r="DT23" s="92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1"/>
      <c r="EF23" s="92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1"/>
      <c r="ER23" s="92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1"/>
      <c r="FD23" s="92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1"/>
      <c r="FP23" s="92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1"/>
      <c r="GN23" s="92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1"/>
      <c r="GZ23" s="92"/>
      <c r="HA23" s="90"/>
      <c r="HB23" s="91"/>
      <c r="HC23" s="92"/>
      <c r="HD23" s="90"/>
      <c r="HE23" s="91"/>
      <c r="HF23" s="92"/>
      <c r="HG23" s="90"/>
      <c r="HH23" s="91"/>
      <c r="HI23" s="92"/>
      <c r="HJ23" s="90"/>
      <c r="HK23" s="91"/>
      <c r="HL23" s="92"/>
      <c r="HM23" s="90"/>
      <c r="HN23" s="91"/>
      <c r="HO23" s="92"/>
      <c r="HP23" s="90"/>
      <c r="HQ23" s="91"/>
      <c r="HR23" s="92"/>
      <c r="HS23" s="90"/>
      <c r="HT23" s="91"/>
      <c r="HU23" s="92"/>
      <c r="HV23" s="90"/>
      <c r="HW23" s="91"/>
      <c r="HX23" s="92"/>
      <c r="HY23" s="90"/>
      <c r="HZ23" s="91"/>
      <c r="IA23" s="92"/>
      <c r="IB23" s="90"/>
      <c r="IC23" s="91"/>
      <c r="ID23" s="92"/>
      <c r="IE23" s="90"/>
      <c r="IF23" s="91"/>
      <c r="IG23" s="92"/>
      <c r="IH23" s="90"/>
      <c r="II23" s="91"/>
      <c r="IJ23" s="92"/>
      <c r="IK23" s="90"/>
      <c r="IL23" s="91"/>
      <c r="IM23" s="92"/>
      <c r="IN23" s="90"/>
      <c r="IO23" s="91"/>
      <c r="IP23" s="92"/>
      <c r="IQ23" s="90"/>
      <c r="IR23" s="91"/>
      <c r="IS23" s="92"/>
      <c r="IT23" s="90"/>
      <c r="IU23" s="91"/>
      <c r="IV23" s="92"/>
      <c r="IW23" s="90"/>
      <c r="IX23" s="91"/>
      <c r="IY23" s="92"/>
      <c r="IZ23" s="90"/>
      <c r="JA23" s="91"/>
      <c r="JB23" s="128"/>
      <c r="JC23" s="126"/>
      <c r="JD23" s="127"/>
      <c r="JE23" s="128"/>
      <c r="JF23" s="126"/>
      <c r="JG23" s="127"/>
      <c r="JH23" s="92"/>
      <c r="JI23" s="90"/>
      <c r="JJ23" s="91"/>
      <c r="JK23" s="92"/>
      <c r="JL23" s="90"/>
      <c r="JM23" s="93"/>
      <c r="JN23" s="89"/>
      <c r="JO23" s="90"/>
      <c r="JP23" s="91"/>
      <c r="JQ23" s="92"/>
      <c r="JR23" s="90"/>
      <c r="JS23" s="91"/>
      <c r="JT23" s="92"/>
      <c r="JU23" s="90"/>
      <c r="JV23" s="91"/>
      <c r="JW23" s="92"/>
      <c r="JX23" s="90"/>
      <c r="JY23" s="91"/>
      <c r="JZ23" s="92"/>
      <c r="KA23" s="90"/>
      <c r="KB23" s="91"/>
      <c r="KC23" s="92"/>
      <c r="KD23" s="90"/>
      <c r="KE23" s="91"/>
      <c r="KF23" s="92"/>
      <c r="KG23" s="90"/>
      <c r="KH23" s="91"/>
      <c r="KI23" s="92"/>
      <c r="KJ23" s="90"/>
      <c r="KK23" s="91"/>
      <c r="KL23" s="92"/>
      <c r="KM23" s="90"/>
      <c r="KN23" s="91"/>
      <c r="KO23" s="92"/>
      <c r="KP23" s="90"/>
      <c r="KQ23" s="91"/>
      <c r="KR23" s="92"/>
      <c r="KS23" s="90"/>
      <c r="KT23" s="91"/>
      <c r="KU23" s="92"/>
      <c r="KV23" s="90"/>
      <c r="KW23" s="91"/>
      <c r="KX23" s="92"/>
      <c r="KY23" s="90"/>
      <c r="KZ23" s="91"/>
      <c r="LA23" s="92"/>
      <c r="LB23" s="90"/>
      <c r="LC23" s="91"/>
      <c r="LD23" s="92"/>
      <c r="LE23" s="90"/>
      <c r="LF23" s="91"/>
      <c r="LG23" s="92"/>
      <c r="LH23" s="90"/>
      <c r="LI23" s="91"/>
      <c r="LJ23" s="92"/>
      <c r="LK23" s="90"/>
      <c r="LL23" s="91"/>
      <c r="LM23" s="92"/>
      <c r="LN23" s="90"/>
      <c r="LO23" s="91"/>
      <c r="LP23" s="92"/>
      <c r="LQ23" s="90"/>
      <c r="LR23" s="91"/>
      <c r="LS23" s="92"/>
      <c r="LT23" s="90"/>
      <c r="LU23" s="91"/>
      <c r="LV23" s="92"/>
      <c r="LW23" s="90"/>
      <c r="LX23" s="91"/>
      <c r="LY23" s="92"/>
      <c r="LZ23" s="90"/>
      <c r="MA23" s="91"/>
      <c r="MB23" s="92"/>
      <c r="MC23" s="90"/>
      <c r="MD23" s="91"/>
      <c r="ME23" s="92"/>
      <c r="MF23" s="90"/>
      <c r="MG23" s="91"/>
      <c r="MH23" s="92"/>
      <c r="MI23" s="90"/>
      <c r="MJ23" s="91"/>
      <c r="MK23" s="92"/>
      <c r="ML23" s="90"/>
      <c r="MM23" s="91"/>
      <c r="MN23" s="92"/>
      <c r="MO23" s="90"/>
      <c r="MP23" s="91"/>
      <c r="MQ23" s="92"/>
      <c r="MR23" s="90"/>
      <c r="MS23" s="91"/>
      <c r="MT23" s="92"/>
      <c r="MU23" s="90"/>
      <c r="MV23" s="91"/>
      <c r="MW23" s="92"/>
      <c r="MX23" s="90"/>
      <c r="MY23" s="93"/>
    </row>
    <row r="24" spans="2:363" ht="19.5" customHeight="1" thickBot="1" x14ac:dyDescent="0.25">
      <c r="B24" s="150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6"/>
      <c r="P24" s="97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6"/>
      <c r="AB24" s="97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6"/>
      <c r="AN24" s="97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6"/>
      <c r="AZ24" s="97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6"/>
      <c r="BL24" s="97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6"/>
      <c r="BX24" s="97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6"/>
      <c r="CJ24" s="97"/>
      <c r="CK24" s="95"/>
      <c r="CL24" s="96"/>
      <c r="CM24" s="97"/>
      <c r="CN24" s="95"/>
      <c r="CO24" s="98"/>
      <c r="CP24" s="94"/>
      <c r="CQ24" s="95"/>
      <c r="CR24" s="96"/>
      <c r="CS24" s="97"/>
      <c r="CT24" s="95"/>
      <c r="CU24" s="96"/>
      <c r="CV24" s="97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6"/>
      <c r="DH24" s="97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6"/>
      <c r="DT24" s="97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6"/>
      <c r="EF24" s="97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6"/>
      <c r="ER24" s="97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6"/>
      <c r="FD24" s="97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6"/>
      <c r="FP24" s="97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6"/>
      <c r="GN24" s="97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6"/>
      <c r="GZ24" s="97"/>
      <c r="HA24" s="95"/>
      <c r="HB24" s="96"/>
      <c r="HC24" s="97"/>
      <c r="HD24" s="95"/>
      <c r="HE24" s="96"/>
      <c r="HF24" s="97"/>
      <c r="HG24" s="95"/>
      <c r="HH24" s="96"/>
      <c r="HI24" s="97"/>
      <c r="HJ24" s="95"/>
      <c r="HK24" s="96"/>
      <c r="HL24" s="97"/>
      <c r="HM24" s="95"/>
      <c r="HN24" s="96"/>
      <c r="HO24" s="97"/>
      <c r="HP24" s="95"/>
      <c r="HQ24" s="96"/>
      <c r="HR24" s="97"/>
      <c r="HS24" s="95"/>
      <c r="HT24" s="96"/>
      <c r="HU24" s="97"/>
      <c r="HV24" s="95"/>
      <c r="HW24" s="96"/>
      <c r="HX24" s="97"/>
      <c r="HY24" s="95"/>
      <c r="HZ24" s="96"/>
      <c r="IA24" s="97"/>
      <c r="IB24" s="95"/>
      <c r="IC24" s="96"/>
      <c r="ID24" s="97"/>
      <c r="IE24" s="95"/>
      <c r="IF24" s="96"/>
      <c r="IG24" s="97"/>
      <c r="IH24" s="95"/>
      <c r="II24" s="96"/>
      <c r="IJ24" s="97"/>
      <c r="IK24" s="95"/>
      <c r="IL24" s="96"/>
      <c r="IM24" s="97"/>
      <c r="IN24" s="95"/>
      <c r="IO24" s="96"/>
      <c r="IP24" s="97"/>
      <c r="IQ24" s="95"/>
      <c r="IR24" s="96"/>
      <c r="IS24" s="97"/>
      <c r="IT24" s="95"/>
      <c r="IU24" s="96"/>
      <c r="IV24" s="97"/>
      <c r="IW24" s="95"/>
      <c r="IX24" s="96"/>
      <c r="IY24" s="97"/>
      <c r="IZ24" s="95"/>
      <c r="JA24" s="96"/>
      <c r="JB24" s="97"/>
      <c r="JC24" s="95"/>
      <c r="JD24" s="96"/>
      <c r="JE24" s="97"/>
      <c r="JF24" s="95"/>
      <c r="JG24" s="96"/>
      <c r="JH24" s="97"/>
      <c r="JI24" s="95"/>
      <c r="JJ24" s="96"/>
      <c r="JK24" s="97"/>
      <c r="JL24" s="95"/>
      <c r="JM24" s="98"/>
      <c r="JN24" s="94"/>
      <c r="JO24" s="95"/>
      <c r="JP24" s="96"/>
      <c r="JQ24" s="97"/>
      <c r="JR24" s="95"/>
      <c r="JS24" s="96"/>
      <c r="JT24" s="97"/>
      <c r="JU24" s="95"/>
      <c r="JV24" s="96"/>
      <c r="JW24" s="97"/>
      <c r="JX24" s="95"/>
      <c r="JY24" s="96"/>
      <c r="JZ24" s="97"/>
      <c r="KA24" s="95"/>
      <c r="KB24" s="96"/>
      <c r="KC24" s="97"/>
      <c r="KD24" s="95"/>
      <c r="KE24" s="96"/>
      <c r="KF24" s="97"/>
      <c r="KG24" s="95"/>
      <c r="KH24" s="96"/>
      <c r="KI24" s="97"/>
      <c r="KJ24" s="95"/>
      <c r="KK24" s="96"/>
      <c r="KL24" s="97"/>
      <c r="KM24" s="95"/>
      <c r="KN24" s="96"/>
      <c r="KO24" s="97"/>
      <c r="KP24" s="95"/>
      <c r="KQ24" s="96"/>
      <c r="KR24" s="97"/>
      <c r="KS24" s="95"/>
      <c r="KT24" s="96"/>
      <c r="KU24" s="97"/>
      <c r="KV24" s="95"/>
      <c r="KW24" s="96"/>
      <c r="KX24" s="97"/>
      <c r="KY24" s="95"/>
      <c r="KZ24" s="96"/>
      <c r="LA24" s="97"/>
      <c r="LB24" s="95"/>
      <c r="LC24" s="96"/>
      <c r="LD24" s="97"/>
      <c r="LE24" s="95"/>
      <c r="LF24" s="96"/>
      <c r="LG24" s="97"/>
      <c r="LH24" s="95"/>
      <c r="LI24" s="96"/>
      <c r="LJ24" s="97"/>
      <c r="LK24" s="95"/>
      <c r="LL24" s="96"/>
      <c r="LM24" s="97"/>
      <c r="LN24" s="95"/>
      <c r="LO24" s="96"/>
      <c r="LP24" s="97"/>
      <c r="LQ24" s="95"/>
      <c r="LR24" s="96"/>
      <c r="LS24" s="97"/>
      <c r="LT24" s="95"/>
      <c r="LU24" s="96"/>
      <c r="LV24" s="97"/>
      <c r="LW24" s="95"/>
      <c r="LX24" s="96"/>
      <c r="LY24" s="97"/>
      <c r="LZ24" s="95"/>
      <c r="MA24" s="96"/>
      <c r="MB24" s="97"/>
      <c r="MC24" s="95"/>
      <c r="MD24" s="96"/>
      <c r="ME24" s="97"/>
      <c r="MF24" s="95"/>
      <c r="MG24" s="96"/>
      <c r="MH24" s="97"/>
      <c r="MI24" s="95"/>
      <c r="MJ24" s="96"/>
      <c r="MK24" s="97"/>
      <c r="ML24" s="95"/>
      <c r="MM24" s="96"/>
      <c r="MN24" s="97"/>
      <c r="MO24" s="95"/>
      <c r="MP24" s="96"/>
      <c r="MQ24" s="97"/>
      <c r="MR24" s="95"/>
      <c r="MS24" s="96"/>
      <c r="MT24" s="97"/>
      <c r="MU24" s="95"/>
      <c r="MV24" s="96"/>
      <c r="MW24" s="97"/>
      <c r="MX24" s="95"/>
      <c r="MY24" s="98"/>
    </row>
    <row r="25" spans="2:363" ht="19.5" customHeight="1" x14ac:dyDescent="0.2">
      <c r="B25" s="149" t="str">
        <f>Donnees!$C$31</f>
        <v>Présentation</v>
      </c>
      <c r="C25" s="99">
        <v>27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1"/>
      <c r="P25" s="92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1"/>
      <c r="AB25" s="92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1"/>
      <c r="AN25" s="92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1"/>
      <c r="AZ25" s="92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1"/>
      <c r="BL25" s="92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1"/>
      <c r="BX25" s="92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1"/>
      <c r="CJ25" s="92"/>
      <c r="CK25" s="90"/>
      <c r="CL25" s="91"/>
      <c r="CM25" s="92"/>
      <c r="CN25" s="90"/>
      <c r="CO25" s="93"/>
      <c r="CP25" s="89"/>
      <c r="CQ25" s="90"/>
      <c r="CR25" s="91"/>
      <c r="CS25" s="92"/>
      <c r="CT25" s="90"/>
      <c r="CU25" s="91"/>
      <c r="CV25" s="92"/>
      <c r="CW25" s="90"/>
      <c r="CX25" s="91"/>
      <c r="CY25" s="92"/>
      <c r="CZ25" s="90"/>
      <c r="DA25" s="91"/>
      <c r="DB25" s="92"/>
      <c r="DC25" s="90"/>
      <c r="DD25" s="91"/>
      <c r="DE25" s="92"/>
      <c r="DF25" s="90"/>
      <c r="DG25" s="91"/>
      <c r="DH25" s="92"/>
      <c r="DI25" s="90"/>
      <c r="DJ25" s="91"/>
      <c r="DK25" s="92"/>
      <c r="DL25" s="90"/>
      <c r="DM25" s="91"/>
      <c r="DN25" s="92"/>
      <c r="DO25" s="90"/>
      <c r="DP25" s="91"/>
      <c r="DQ25" s="92"/>
      <c r="DR25" s="90"/>
      <c r="DS25" s="91"/>
      <c r="DT25" s="92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1"/>
      <c r="EF25" s="92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1"/>
      <c r="ER25" s="92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1"/>
      <c r="FD25" s="92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1"/>
      <c r="FP25" s="92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1"/>
      <c r="GN25" s="92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1"/>
      <c r="GZ25" s="92"/>
      <c r="HA25" s="90"/>
      <c r="HB25" s="91"/>
      <c r="HC25" s="92"/>
      <c r="HD25" s="90"/>
      <c r="HE25" s="91"/>
      <c r="HF25" s="92"/>
      <c r="HG25" s="90"/>
      <c r="HH25" s="91"/>
      <c r="HI25" s="92"/>
      <c r="HJ25" s="90"/>
      <c r="HK25" s="91"/>
      <c r="HL25" s="92"/>
      <c r="HM25" s="90"/>
      <c r="HN25" s="91"/>
      <c r="HO25" s="92"/>
      <c r="HP25" s="90"/>
      <c r="HQ25" s="91"/>
      <c r="HR25" s="92"/>
      <c r="HS25" s="90"/>
      <c r="HT25" s="91"/>
      <c r="HU25" s="92"/>
      <c r="HV25" s="90"/>
      <c r="HW25" s="91"/>
      <c r="HX25" s="92"/>
      <c r="HY25" s="90"/>
      <c r="HZ25" s="91"/>
      <c r="IA25" s="92"/>
      <c r="IB25" s="90"/>
      <c r="IC25" s="91"/>
      <c r="ID25" s="92"/>
      <c r="IE25" s="90"/>
      <c r="IF25" s="91"/>
      <c r="IG25" s="92"/>
      <c r="IH25" s="90"/>
      <c r="II25" s="91"/>
      <c r="IJ25" s="92"/>
      <c r="IK25" s="90"/>
      <c r="IL25" s="91"/>
      <c r="IM25" s="92"/>
      <c r="IN25" s="90"/>
      <c r="IO25" s="91"/>
      <c r="IP25" s="92"/>
      <c r="IQ25" s="90"/>
      <c r="IR25" s="91"/>
      <c r="IS25" s="92"/>
      <c r="IT25" s="90"/>
      <c r="IU25" s="91"/>
      <c r="IV25" s="92"/>
      <c r="IW25" s="90"/>
      <c r="IX25" s="91"/>
      <c r="IY25" s="92"/>
      <c r="IZ25" s="90"/>
      <c r="JA25" s="91"/>
      <c r="JB25" s="92"/>
      <c r="JC25" s="90"/>
      <c r="JD25" s="91"/>
      <c r="JE25" s="92"/>
      <c r="JF25" s="90"/>
      <c r="JG25" s="91"/>
      <c r="JH25" s="92"/>
      <c r="JI25" s="90"/>
      <c r="JJ25" s="91"/>
      <c r="JK25" s="92"/>
      <c r="JL25" s="90"/>
      <c r="JM25" s="93"/>
      <c r="JN25" s="89"/>
      <c r="JO25" s="90"/>
      <c r="JP25" s="91"/>
      <c r="JQ25" s="92"/>
      <c r="JR25" s="90"/>
      <c r="JS25" s="91"/>
      <c r="JT25" s="92"/>
      <c r="JU25" s="90"/>
      <c r="JV25" s="91"/>
      <c r="JW25" s="92"/>
      <c r="JX25" s="90"/>
      <c r="JY25" s="91"/>
      <c r="JZ25" s="92"/>
      <c r="KA25" s="90"/>
      <c r="KB25" s="91"/>
      <c r="KC25" s="92"/>
      <c r="KD25" s="90"/>
      <c r="KE25" s="91"/>
      <c r="KF25" s="92"/>
      <c r="KG25" s="90"/>
      <c r="KH25" s="91"/>
      <c r="KI25" s="92"/>
      <c r="KJ25" s="90"/>
      <c r="KK25" s="91"/>
      <c r="KL25" s="92"/>
      <c r="KM25" s="90"/>
      <c r="KN25" s="91"/>
      <c r="KO25" s="92"/>
      <c r="KP25" s="90"/>
      <c r="KQ25" s="91"/>
      <c r="KR25" s="92"/>
      <c r="KS25" s="90"/>
      <c r="KT25" s="91"/>
      <c r="KU25" s="92"/>
      <c r="KV25" s="90"/>
      <c r="KW25" s="91"/>
      <c r="KX25" s="128"/>
      <c r="KY25" s="126"/>
      <c r="KZ25" s="127"/>
      <c r="LA25" s="128"/>
      <c r="LB25" s="126"/>
      <c r="LC25" s="127"/>
      <c r="LD25" s="128"/>
      <c r="LE25" s="126"/>
      <c r="LF25" s="127"/>
      <c r="LG25" s="128"/>
      <c r="LH25" s="126"/>
      <c r="LI25" s="127"/>
      <c r="LJ25" s="128"/>
      <c r="LK25" s="126"/>
      <c r="LL25" s="127"/>
      <c r="LM25" s="128"/>
      <c r="LN25" s="126"/>
      <c r="LO25" s="127"/>
      <c r="LP25" s="128"/>
      <c r="LQ25" s="126"/>
      <c r="LR25" s="127"/>
      <c r="LS25" s="128"/>
      <c r="LT25" s="126"/>
      <c r="LU25" s="127"/>
      <c r="LV25" s="128"/>
      <c r="LW25" s="126"/>
      <c r="LX25" s="127"/>
      <c r="LY25" s="92"/>
      <c r="LZ25" s="90"/>
      <c r="MA25" s="91"/>
      <c r="MB25" s="92"/>
      <c r="MC25" s="90"/>
      <c r="MD25" s="91"/>
      <c r="ME25" s="92"/>
      <c r="MF25" s="90"/>
      <c r="MG25" s="91"/>
      <c r="MH25" s="92"/>
      <c r="MI25" s="90"/>
      <c r="MJ25" s="91"/>
      <c r="MK25" s="92"/>
      <c r="ML25" s="90"/>
      <c r="MM25" s="91"/>
      <c r="MN25" s="92"/>
      <c r="MO25" s="90"/>
      <c r="MP25" s="91"/>
      <c r="MQ25" s="92"/>
      <c r="MR25" s="90"/>
      <c r="MS25" s="91"/>
      <c r="MT25" s="92"/>
      <c r="MU25" s="90"/>
      <c r="MV25" s="91"/>
      <c r="MW25" s="92"/>
      <c r="MX25" s="90"/>
      <c r="MY25" s="93"/>
    </row>
    <row r="26" spans="2:363" ht="19.5" customHeight="1" thickBot="1" x14ac:dyDescent="0.25">
      <c r="B26" s="150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6"/>
      <c r="P26" s="97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6"/>
      <c r="AB26" s="97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6"/>
      <c r="AN26" s="97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6"/>
      <c r="AZ26" s="97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6"/>
      <c r="BL26" s="97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6"/>
      <c r="BX26" s="97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6"/>
      <c r="CJ26" s="97"/>
      <c r="CK26" s="95"/>
      <c r="CL26" s="96"/>
      <c r="CM26" s="97"/>
      <c r="CN26" s="95"/>
      <c r="CO26" s="98"/>
      <c r="CP26" s="94"/>
      <c r="CQ26" s="95"/>
      <c r="CR26" s="96"/>
      <c r="CS26" s="97"/>
      <c r="CT26" s="95"/>
      <c r="CU26" s="96"/>
      <c r="CV26" s="97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6"/>
      <c r="DH26" s="97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6"/>
      <c r="DT26" s="97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6"/>
      <c r="EF26" s="97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6"/>
      <c r="ER26" s="97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6"/>
      <c r="FD26" s="97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6"/>
      <c r="FP26" s="97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6"/>
      <c r="GN26" s="97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6"/>
      <c r="GZ26" s="97"/>
      <c r="HA26" s="95"/>
      <c r="HB26" s="96"/>
      <c r="HC26" s="97"/>
      <c r="HD26" s="95"/>
      <c r="HE26" s="96"/>
      <c r="HF26" s="97"/>
      <c r="HG26" s="95"/>
      <c r="HH26" s="96"/>
      <c r="HI26" s="97"/>
      <c r="HJ26" s="95"/>
      <c r="HK26" s="96"/>
      <c r="HL26" s="97"/>
      <c r="HM26" s="95"/>
      <c r="HN26" s="96"/>
      <c r="HO26" s="97"/>
      <c r="HP26" s="95"/>
      <c r="HQ26" s="96"/>
      <c r="HR26" s="97"/>
      <c r="HS26" s="95"/>
      <c r="HT26" s="96"/>
      <c r="HU26" s="97"/>
      <c r="HV26" s="95"/>
      <c r="HW26" s="96"/>
      <c r="HX26" s="97"/>
      <c r="HY26" s="95"/>
      <c r="HZ26" s="96"/>
      <c r="IA26" s="97"/>
      <c r="IB26" s="95"/>
      <c r="IC26" s="96"/>
      <c r="ID26" s="97"/>
      <c r="IE26" s="95"/>
      <c r="IF26" s="96"/>
      <c r="IG26" s="97"/>
      <c r="IH26" s="95"/>
      <c r="II26" s="96"/>
      <c r="IJ26" s="97"/>
      <c r="IK26" s="95"/>
      <c r="IL26" s="96"/>
      <c r="IM26" s="97"/>
      <c r="IN26" s="95"/>
      <c r="IO26" s="96"/>
      <c r="IP26" s="97"/>
      <c r="IQ26" s="95"/>
      <c r="IR26" s="96"/>
      <c r="IS26" s="97"/>
      <c r="IT26" s="95"/>
      <c r="IU26" s="96"/>
      <c r="IV26" s="97"/>
      <c r="IW26" s="95"/>
      <c r="IX26" s="96"/>
      <c r="IY26" s="97"/>
      <c r="IZ26" s="95"/>
      <c r="JA26" s="96"/>
      <c r="JB26" s="97"/>
      <c r="JC26" s="95"/>
      <c r="JD26" s="96"/>
      <c r="JE26" s="97"/>
      <c r="JF26" s="95"/>
      <c r="JG26" s="96"/>
      <c r="JH26" s="97"/>
      <c r="JI26" s="95"/>
      <c r="JJ26" s="96"/>
      <c r="JK26" s="97"/>
      <c r="JL26" s="95"/>
      <c r="JM26" s="98"/>
      <c r="JN26" s="94"/>
      <c r="JO26" s="95"/>
      <c r="JP26" s="96"/>
      <c r="JQ26" s="97"/>
      <c r="JR26" s="95"/>
      <c r="JS26" s="96"/>
      <c r="JT26" s="97"/>
      <c r="JU26" s="95"/>
      <c r="JV26" s="96"/>
      <c r="JW26" s="97"/>
      <c r="JX26" s="95"/>
      <c r="JY26" s="96"/>
      <c r="JZ26" s="97"/>
      <c r="KA26" s="95"/>
      <c r="KB26" s="96"/>
      <c r="KC26" s="97"/>
      <c r="KD26" s="95"/>
      <c r="KE26" s="96"/>
      <c r="KF26" s="97"/>
      <c r="KG26" s="95"/>
      <c r="KH26" s="96"/>
      <c r="KI26" s="97"/>
      <c r="KJ26" s="95"/>
      <c r="KK26" s="96"/>
      <c r="KL26" s="97"/>
      <c r="KM26" s="95"/>
      <c r="KN26" s="96"/>
      <c r="KO26" s="97"/>
      <c r="KP26" s="95"/>
      <c r="KQ26" s="96"/>
      <c r="KR26" s="97"/>
      <c r="KS26" s="95"/>
      <c r="KT26" s="96"/>
      <c r="KU26" s="97"/>
      <c r="KV26" s="95"/>
      <c r="KW26" s="96"/>
      <c r="KX26" s="97"/>
      <c r="KY26" s="95"/>
      <c r="KZ26" s="96"/>
      <c r="LA26" s="97"/>
      <c r="LB26" s="95"/>
      <c r="LC26" s="96"/>
      <c r="LD26" s="97"/>
      <c r="LE26" s="95"/>
      <c r="LF26" s="96"/>
      <c r="LG26" s="97"/>
      <c r="LH26" s="95"/>
      <c r="LI26" s="96"/>
      <c r="LJ26" s="97"/>
      <c r="LK26" s="95"/>
      <c r="LL26" s="96"/>
      <c r="LM26" s="97"/>
      <c r="LN26" s="95"/>
      <c r="LO26" s="96"/>
      <c r="LP26" s="97"/>
      <c r="LQ26" s="95"/>
      <c r="LR26" s="96"/>
      <c r="LS26" s="97"/>
      <c r="LT26" s="95"/>
      <c r="LU26" s="96"/>
      <c r="LV26" s="97"/>
      <c r="LW26" s="95"/>
      <c r="LX26" s="96"/>
      <c r="LY26" s="97"/>
      <c r="LZ26" s="95"/>
      <c r="MA26" s="96"/>
      <c r="MB26" s="97"/>
      <c r="MC26" s="95"/>
      <c r="MD26" s="96"/>
      <c r="ME26" s="97"/>
      <c r="MF26" s="95"/>
      <c r="MG26" s="96"/>
      <c r="MH26" s="97"/>
      <c r="MI26" s="95"/>
      <c r="MJ26" s="96"/>
      <c r="MK26" s="97"/>
      <c r="ML26" s="95"/>
      <c r="MM26" s="96"/>
      <c r="MN26" s="97"/>
      <c r="MO26" s="95"/>
      <c r="MP26" s="96"/>
      <c r="MQ26" s="97"/>
      <c r="MR26" s="95"/>
      <c r="MS26" s="96"/>
      <c r="MT26" s="97"/>
      <c r="MU26" s="95"/>
      <c r="MV26" s="96"/>
      <c r="MW26" s="97"/>
      <c r="MX26" s="95"/>
      <c r="MY26" s="98"/>
    </row>
    <row r="27" spans="2:363" ht="19.5" customHeight="1" x14ac:dyDescent="0.2">
      <c r="B27" s="149" t="str">
        <f>Donnees!$C$32</f>
        <v>Code C#</v>
      </c>
      <c r="C27" s="99">
        <v>0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1"/>
      <c r="P27" s="92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1"/>
      <c r="AB27" s="92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1"/>
      <c r="AN27" s="92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1"/>
      <c r="AZ27" s="92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1"/>
      <c r="BL27" s="92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1"/>
      <c r="BX27" s="92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1"/>
      <c r="CJ27" s="92"/>
      <c r="CK27" s="90"/>
      <c r="CL27" s="91"/>
      <c r="CM27" s="92"/>
      <c r="CN27" s="90"/>
      <c r="CO27" s="93"/>
      <c r="CP27" s="89"/>
      <c r="CQ27" s="90"/>
      <c r="CR27" s="91"/>
      <c r="CS27" s="92"/>
      <c r="CT27" s="90"/>
      <c r="CU27" s="91"/>
      <c r="CV27" s="92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1"/>
      <c r="DH27" s="92"/>
      <c r="DI27" s="90"/>
      <c r="DJ27" s="91"/>
      <c r="DK27" s="92"/>
      <c r="DL27" s="90"/>
      <c r="DM27" s="91"/>
      <c r="DN27" s="92"/>
      <c r="DO27" s="90"/>
      <c r="DP27" s="91"/>
      <c r="DQ27" s="92"/>
      <c r="DR27" s="90"/>
      <c r="DS27" s="91"/>
      <c r="DT27" s="92"/>
      <c r="DU27" s="90"/>
      <c r="DV27" s="91"/>
      <c r="DW27" s="92"/>
      <c r="DX27" s="90"/>
      <c r="DY27" s="91"/>
      <c r="DZ27" s="92"/>
      <c r="EA27" s="90"/>
      <c r="EB27" s="91"/>
      <c r="EC27" s="92"/>
      <c r="ED27" s="90"/>
      <c r="EE27" s="91"/>
      <c r="EF27" s="92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1"/>
      <c r="ER27" s="92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1"/>
      <c r="FD27" s="92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1"/>
      <c r="FP27" s="92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1"/>
      <c r="GN27" s="92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1"/>
      <c r="GZ27" s="92"/>
      <c r="HA27" s="90"/>
      <c r="HB27" s="91"/>
      <c r="HC27" s="92"/>
      <c r="HD27" s="90"/>
      <c r="HE27" s="91"/>
      <c r="HF27" s="92"/>
      <c r="HG27" s="90"/>
      <c r="HH27" s="91"/>
      <c r="HI27" s="92"/>
      <c r="HJ27" s="90"/>
      <c r="HK27" s="91"/>
      <c r="HL27" s="92"/>
      <c r="HM27" s="90"/>
      <c r="HN27" s="91"/>
      <c r="HO27" s="92"/>
      <c r="HP27" s="90"/>
      <c r="HQ27" s="91"/>
      <c r="HR27" s="92"/>
      <c r="HS27" s="90"/>
      <c r="HT27" s="91"/>
      <c r="HU27" s="92"/>
      <c r="HV27" s="90"/>
      <c r="HW27" s="91"/>
      <c r="HX27" s="92"/>
      <c r="HY27" s="90"/>
      <c r="HZ27" s="91"/>
      <c r="IA27" s="92"/>
      <c r="IB27" s="90"/>
      <c r="IC27" s="91"/>
      <c r="ID27" s="92"/>
      <c r="IE27" s="90"/>
      <c r="IF27" s="91"/>
      <c r="IG27" s="92"/>
      <c r="IH27" s="90"/>
      <c r="II27" s="91"/>
      <c r="IJ27" s="92"/>
      <c r="IK27" s="90"/>
      <c r="IL27" s="91"/>
      <c r="IM27" s="92"/>
      <c r="IN27" s="90"/>
      <c r="IO27" s="91"/>
      <c r="IP27" s="92"/>
      <c r="IQ27" s="90"/>
      <c r="IR27" s="91"/>
      <c r="IS27" s="92"/>
      <c r="IT27" s="90"/>
      <c r="IU27" s="91"/>
      <c r="IV27" s="92"/>
      <c r="IW27" s="90"/>
      <c r="IX27" s="91"/>
      <c r="IY27" s="92"/>
      <c r="IZ27" s="90"/>
      <c r="JA27" s="91"/>
      <c r="JB27" s="92"/>
      <c r="JC27" s="90"/>
      <c r="JD27" s="91"/>
      <c r="JE27" s="92"/>
      <c r="JF27" s="90"/>
      <c r="JG27" s="91"/>
      <c r="JH27" s="92"/>
      <c r="JI27" s="90"/>
      <c r="JJ27" s="91"/>
      <c r="JK27" s="92"/>
      <c r="JL27" s="90"/>
      <c r="JM27" s="93"/>
      <c r="JN27" s="89"/>
      <c r="JO27" s="90"/>
      <c r="JP27" s="91"/>
      <c r="JQ27" s="92"/>
      <c r="JR27" s="90"/>
      <c r="JS27" s="91"/>
      <c r="JT27" s="92"/>
      <c r="JU27" s="90"/>
      <c r="JV27" s="91"/>
      <c r="JW27" s="92"/>
      <c r="JX27" s="90"/>
      <c r="JY27" s="91"/>
      <c r="JZ27" s="92"/>
      <c r="KA27" s="90"/>
      <c r="KB27" s="91"/>
      <c r="KC27" s="92"/>
      <c r="KD27" s="90"/>
      <c r="KE27" s="91"/>
      <c r="KF27" s="92"/>
      <c r="KG27" s="90"/>
      <c r="KH27" s="91"/>
      <c r="KI27" s="92"/>
      <c r="KJ27" s="90"/>
      <c r="KK27" s="91"/>
      <c r="KL27" s="92"/>
      <c r="KM27" s="90"/>
      <c r="KN27" s="91"/>
      <c r="KO27" s="92"/>
      <c r="KP27" s="90"/>
      <c r="KQ27" s="91"/>
      <c r="KR27" s="92"/>
      <c r="KS27" s="90"/>
      <c r="KT27" s="91"/>
      <c r="KU27" s="92"/>
      <c r="KV27" s="90"/>
      <c r="KW27" s="91"/>
      <c r="KX27" s="92"/>
      <c r="KY27" s="90"/>
      <c r="KZ27" s="91"/>
      <c r="LA27" s="92"/>
      <c r="LB27" s="90"/>
      <c r="LC27" s="91"/>
      <c r="LD27" s="92"/>
      <c r="LE27" s="90"/>
      <c r="LF27" s="91"/>
      <c r="LG27" s="92"/>
      <c r="LH27" s="90"/>
      <c r="LI27" s="91"/>
      <c r="LJ27" s="92"/>
      <c r="LK27" s="90"/>
      <c r="LL27" s="91"/>
      <c r="LM27" s="92"/>
      <c r="LN27" s="90"/>
      <c r="LO27" s="91"/>
      <c r="LP27" s="92"/>
      <c r="LQ27" s="90"/>
      <c r="LR27" s="91"/>
      <c r="LS27" s="92"/>
      <c r="LT27" s="90"/>
      <c r="LU27" s="91"/>
      <c r="LV27" s="92"/>
      <c r="LW27" s="90"/>
      <c r="LX27" s="91"/>
      <c r="LY27" s="92"/>
      <c r="LZ27" s="90"/>
      <c r="MA27" s="91"/>
      <c r="MB27" s="92"/>
      <c r="MC27" s="90"/>
      <c r="MD27" s="91"/>
      <c r="ME27" s="92"/>
      <c r="MF27" s="90"/>
      <c r="MG27" s="91"/>
      <c r="MH27" s="92"/>
      <c r="MI27" s="90"/>
      <c r="MJ27" s="91"/>
      <c r="MK27" s="92"/>
      <c r="ML27" s="90"/>
      <c r="MM27" s="91"/>
      <c r="MN27" s="92"/>
      <c r="MO27" s="90"/>
      <c r="MP27" s="91"/>
      <c r="MQ27" s="92"/>
      <c r="MR27" s="90"/>
      <c r="MS27" s="91"/>
      <c r="MT27" s="92"/>
      <c r="MU27" s="90"/>
      <c r="MV27" s="91"/>
      <c r="MW27" s="92"/>
      <c r="MX27" s="90"/>
      <c r="MY27" s="93"/>
    </row>
    <row r="28" spans="2:363" ht="19.5" customHeight="1" x14ac:dyDescent="0.2">
      <c r="B28" s="150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6"/>
      <c r="P28" s="97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6"/>
      <c r="AB28" s="97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6"/>
      <c r="AN28" s="97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6"/>
      <c r="AZ28" s="97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6"/>
      <c r="BL28" s="97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6"/>
      <c r="BX28" s="97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6"/>
      <c r="CJ28" s="97"/>
      <c r="CK28" s="95"/>
      <c r="CL28" s="96"/>
      <c r="CM28" s="97"/>
      <c r="CN28" s="95"/>
      <c r="CO28" s="98"/>
      <c r="CP28" s="94"/>
      <c r="CQ28" s="95"/>
      <c r="CR28" s="96"/>
      <c r="CS28" s="97"/>
      <c r="CT28" s="95"/>
      <c r="CU28" s="96"/>
      <c r="CV28" s="97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6"/>
      <c r="DH28" s="97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6"/>
      <c r="DT28" s="97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6"/>
      <c r="EF28" s="97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6"/>
      <c r="ER28" s="97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6"/>
      <c r="FD28" s="97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6"/>
      <c r="FP28" s="97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6"/>
      <c r="GN28" s="97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6"/>
      <c r="GZ28" s="97"/>
      <c r="HA28" s="95"/>
      <c r="HB28" s="96"/>
      <c r="HC28" s="97"/>
      <c r="HD28" s="95"/>
      <c r="HE28" s="96"/>
      <c r="HF28" s="97"/>
      <c r="HG28" s="95"/>
      <c r="HH28" s="96"/>
      <c r="HI28" s="97"/>
      <c r="HJ28" s="95"/>
      <c r="HK28" s="96"/>
      <c r="HL28" s="97"/>
      <c r="HM28" s="95"/>
      <c r="HN28" s="96"/>
      <c r="HO28" s="97"/>
      <c r="HP28" s="95"/>
      <c r="HQ28" s="96"/>
      <c r="HR28" s="97"/>
      <c r="HS28" s="95"/>
      <c r="HT28" s="96"/>
      <c r="HU28" s="97"/>
      <c r="HV28" s="95"/>
      <c r="HW28" s="96"/>
      <c r="HX28" s="97"/>
      <c r="HY28" s="95"/>
      <c r="HZ28" s="96"/>
      <c r="IA28" s="97"/>
      <c r="IB28" s="95"/>
      <c r="IC28" s="96"/>
      <c r="ID28" s="97"/>
      <c r="IE28" s="95"/>
      <c r="IF28" s="96"/>
      <c r="IG28" s="97"/>
      <c r="IH28" s="95"/>
      <c r="II28" s="96"/>
      <c r="IJ28" s="97"/>
      <c r="IK28" s="95"/>
      <c r="IL28" s="96"/>
      <c r="IM28" s="97"/>
      <c r="IN28" s="95"/>
      <c r="IO28" s="96"/>
      <c r="IP28" s="97"/>
      <c r="IQ28" s="95"/>
      <c r="IR28" s="96"/>
      <c r="IS28" s="97"/>
      <c r="IT28" s="95"/>
      <c r="IU28" s="96"/>
      <c r="IV28" s="97"/>
      <c r="IW28" s="95"/>
      <c r="IX28" s="96"/>
      <c r="IY28" s="97"/>
      <c r="IZ28" s="95"/>
      <c r="JA28" s="96"/>
      <c r="JB28" s="97"/>
      <c r="JC28" s="95"/>
      <c r="JD28" s="96"/>
      <c r="JE28" s="97"/>
      <c r="JF28" s="95"/>
      <c r="JG28" s="96"/>
      <c r="JH28" s="97"/>
      <c r="JI28" s="95"/>
      <c r="JJ28" s="96"/>
      <c r="JK28" s="97"/>
      <c r="JL28" s="95"/>
      <c r="JM28" s="98"/>
      <c r="JN28" s="94"/>
      <c r="JO28" s="95"/>
      <c r="JP28" s="96"/>
      <c r="JQ28" s="97"/>
      <c r="JR28" s="95"/>
      <c r="JS28" s="96"/>
      <c r="JT28" s="97"/>
      <c r="JU28" s="95"/>
      <c r="JV28" s="96"/>
      <c r="JW28" s="97"/>
      <c r="JX28" s="95"/>
      <c r="JY28" s="96"/>
      <c r="JZ28" s="97"/>
      <c r="KA28" s="95"/>
      <c r="KB28" s="96"/>
      <c r="KC28" s="97"/>
      <c r="KD28" s="95"/>
      <c r="KE28" s="96"/>
      <c r="KF28" s="97"/>
      <c r="KG28" s="95"/>
      <c r="KH28" s="96"/>
      <c r="KI28" s="97"/>
      <c r="KJ28" s="95"/>
      <c r="KK28" s="96"/>
      <c r="KL28" s="97"/>
      <c r="KM28" s="95"/>
      <c r="KN28" s="96"/>
      <c r="KO28" s="97"/>
      <c r="KP28" s="95"/>
      <c r="KQ28" s="96"/>
      <c r="KR28" s="97"/>
      <c r="KS28" s="95"/>
      <c r="KT28" s="96"/>
      <c r="KU28" s="97"/>
      <c r="KV28" s="95"/>
      <c r="KW28" s="96"/>
      <c r="KX28" s="97"/>
      <c r="KY28" s="95"/>
      <c r="KZ28" s="96"/>
      <c r="LA28" s="97"/>
      <c r="LB28" s="95"/>
      <c r="LC28" s="96"/>
      <c r="LD28" s="97"/>
      <c r="LE28" s="95"/>
      <c r="LF28" s="96"/>
      <c r="LG28" s="97"/>
      <c r="LH28" s="95"/>
      <c r="LI28" s="96"/>
      <c r="LJ28" s="97"/>
      <c r="LK28" s="95"/>
      <c r="LL28" s="96"/>
      <c r="LM28" s="97"/>
      <c r="LN28" s="95"/>
      <c r="LO28" s="96"/>
      <c r="LP28" s="97"/>
      <c r="LQ28" s="95"/>
      <c r="LR28" s="96"/>
      <c r="LS28" s="97"/>
      <c r="LT28" s="95"/>
      <c r="LU28" s="96"/>
      <c r="LV28" s="97"/>
      <c r="LW28" s="95"/>
      <c r="LX28" s="96"/>
      <c r="LY28" s="97"/>
      <c r="LZ28" s="95"/>
      <c r="MA28" s="96"/>
      <c r="MB28" s="97"/>
      <c r="MC28" s="95"/>
      <c r="MD28" s="96"/>
      <c r="ME28" s="97"/>
      <c r="MF28" s="95"/>
      <c r="MG28" s="96"/>
      <c r="MH28" s="97"/>
      <c r="MI28" s="95"/>
      <c r="MJ28" s="96"/>
      <c r="MK28" s="97"/>
      <c r="ML28" s="95"/>
      <c r="MM28" s="96"/>
      <c r="MN28" s="97"/>
      <c r="MO28" s="95"/>
      <c r="MP28" s="96"/>
      <c r="MQ28" s="97"/>
      <c r="MR28" s="95"/>
      <c r="MS28" s="96"/>
      <c r="MT28" s="97"/>
      <c r="MU28" s="95"/>
      <c r="MV28" s="96"/>
      <c r="MW28" s="97"/>
      <c r="MX28" s="95"/>
      <c r="MY28" s="98"/>
    </row>
    <row r="29" spans="2:363" ht="19.5" customHeight="1" x14ac:dyDescent="0.2">
      <c r="B29" s="47" t="s">
        <v>16</v>
      </c>
      <c r="C29" s="49">
        <f>SUM($C$3,$C$5,$C$7,$C$9,$C$11,$C$13,$C$15,$C$17,$C$19,$C$21,$C$23,$C$25,$C$27)</f>
        <v>360</v>
      </c>
      <c r="D29" s="102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3"/>
      <c r="AO29" s="103"/>
      <c r="AP29" s="103"/>
      <c r="AQ29" s="103"/>
      <c r="AR29" s="103"/>
      <c r="AS29" s="103"/>
      <c r="AT29" s="103"/>
      <c r="AU29" s="103"/>
      <c r="AV29" s="103"/>
      <c r="AW29" s="103"/>
      <c r="AX29" s="103"/>
      <c r="AY29" s="103"/>
      <c r="AZ29" s="103"/>
      <c r="BA29" s="103"/>
      <c r="BB29" s="103"/>
      <c r="BC29" s="103"/>
      <c r="BD29" s="103"/>
      <c r="BE29" s="103"/>
      <c r="BF29" s="103"/>
      <c r="BG29" s="103"/>
      <c r="BH29" s="103"/>
      <c r="BI29" s="103"/>
      <c r="BJ29" s="103"/>
      <c r="BK29" s="103"/>
      <c r="BL29" s="103"/>
      <c r="BM29" s="103"/>
      <c r="BN29" s="103"/>
      <c r="BO29" s="103"/>
      <c r="BP29" s="103"/>
      <c r="BQ29" s="103"/>
      <c r="BR29" s="103"/>
      <c r="BS29" s="103"/>
      <c r="BT29" s="103"/>
      <c r="BU29" s="103"/>
      <c r="BV29" s="103"/>
      <c r="BW29" s="103"/>
      <c r="BX29" s="103"/>
      <c r="BY29" s="103"/>
      <c r="BZ29" s="103"/>
      <c r="CA29" s="103"/>
      <c r="CB29" s="103"/>
      <c r="CC29" s="103"/>
      <c r="CD29" s="103"/>
      <c r="CE29" s="103"/>
      <c r="CF29" s="103"/>
      <c r="CG29" s="103"/>
      <c r="CH29" s="103"/>
      <c r="CI29" s="103"/>
      <c r="CJ29" s="103"/>
      <c r="CK29" s="103"/>
      <c r="CL29" s="103"/>
      <c r="CM29" s="103"/>
      <c r="CN29" s="103"/>
      <c r="CO29" s="104"/>
      <c r="CP29" s="102"/>
      <c r="CQ29" s="103"/>
      <c r="CR29" s="103"/>
      <c r="CS29" s="103"/>
      <c r="CT29" s="103"/>
      <c r="CU29" s="103"/>
      <c r="CV29" s="103"/>
      <c r="CW29" s="103"/>
      <c r="CX29" s="103"/>
      <c r="CY29" s="103"/>
      <c r="CZ29" s="103"/>
      <c r="DA29" s="103"/>
      <c r="DB29" s="103"/>
      <c r="DC29" s="103"/>
      <c r="DD29" s="103"/>
      <c r="DE29" s="103"/>
      <c r="DF29" s="103"/>
      <c r="DG29" s="103"/>
      <c r="DH29" s="103"/>
      <c r="DI29" s="103"/>
      <c r="DJ29" s="103"/>
      <c r="DK29" s="103"/>
      <c r="DL29" s="103"/>
      <c r="DM29" s="103"/>
      <c r="DN29" s="103"/>
      <c r="DO29" s="103"/>
      <c r="DP29" s="103"/>
      <c r="DQ29" s="103"/>
      <c r="DR29" s="103"/>
      <c r="DS29" s="103"/>
      <c r="DT29" s="103"/>
      <c r="DU29" s="103"/>
      <c r="DV29" s="103"/>
      <c r="DW29" s="103"/>
      <c r="DX29" s="103"/>
      <c r="DY29" s="103"/>
      <c r="DZ29" s="103"/>
      <c r="EA29" s="103"/>
      <c r="EB29" s="103"/>
      <c r="EC29" s="103"/>
      <c r="ED29" s="103"/>
      <c r="EE29" s="103"/>
      <c r="EF29" s="103"/>
      <c r="EG29" s="103"/>
      <c r="EH29" s="103"/>
      <c r="EI29" s="103"/>
      <c r="EJ29" s="103"/>
      <c r="EK29" s="103"/>
      <c r="EL29" s="103"/>
      <c r="EM29" s="103"/>
      <c r="EN29" s="103"/>
      <c r="EO29" s="103"/>
      <c r="EP29" s="103"/>
      <c r="EQ29" s="103"/>
      <c r="ER29" s="103"/>
      <c r="ES29" s="103"/>
      <c r="ET29" s="103"/>
      <c r="EU29" s="103"/>
      <c r="EV29" s="103"/>
      <c r="EW29" s="103"/>
      <c r="EX29" s="103"/>
      <c r="EY29" s="103"/>
      <c r="EZ29" s="103"/>
      <c r="FA29" s="103"/>
      <c r="FB29" s="103"/>
      <c r="FC29" s="103"/>
      <c r="FD29" s="103"/>
      <c r="FE29" s="103"/>
      <c r="FF29" s="103"/>
      <c r="FG29" s="103"/>
      <c r="FH29" s="103"/>
      <c r="FI29" s="103"/>
      <c r="FJ29" s="103"/>
      <c r="FK29" s="103"/>
      <c r="FL29" s="103"/>
      <c r="FM29" s="103"/>
      <c r="FN29" s="103"/>
      <c r="FO29" s="103"/>
      <c r="FP29" s="103"/>
      <c r="FQ29" s="103"/>
      <c r="FR29" s="103"/>
      <c r="FS29" s="103"/>
      <c r="FT29" s="103"/>
      <c r="FU29" s="103"/>
      <c r="FV29" s="103"/>
      <c r="FW29" s="103"/>
      <c r="FX29" s="103"/>
      <c r="FY29" s="103"/>
      <c r="FZ29" s="103"/>
      <c r="GA29" s="104"/>
      <c r="GB29" s="102"/>
      <c r="GC29" s="103"/>
      <c r="GD29" s="103"/>
      <c r="GE29" s="103"/>
      <c r="GF29" s="103"/>
      <c r="GG29" s="103"/>
      <c r="GH29" s="103"/>
      <c r="GI29" s="103"/>
      <c r="GJ29" s="103"/>
      <c r="GK29" s="103"/>
      <c r="GL29" s="103"/>
      <c r="GM29" s="103"/>
      <c r="GN29" s="103"/>
      <c r="GO29" s="103"/>
      <c r="GP29" s="103"/>
      <c r="GQ29" s="103"/>
      <c r="GR29" s="103"/>
      <c r="GS29" s="103"/>
      <c r="GT29" s="103"/>
      <c r="GU29" s="103"/>
      <c r="GV29" s="103"/>
      <c r="GW29" s="103"/>
      <c r="GX29" s="103"/>
      <c r="GY29" s="103"/>
      <c r="GZ29" s="103"/>
      <c r="HA29" s="103"/>
      <c r="HB29" s="103"/>
      <c r="HC29" s="103"/>
      <c r="HD29" s="103"/>
      <c r="HE29" s="103"/>
      <c r="HF29" s="103"/>
      <c r="HG29" s="103"/>
      <c r="HH29" s="103"/>
      <c r="HI29" s="103"/>
      <c r="HJ29" s="103"/>
      <c r="HK29" s="103"/>
      <c r="HL29" s="103"/>
      <c r="HM29" s="103"/>
      <c r="HN29" s="103"/>
      <c r="HO29" s="103"/>
      <c r="HP29" s="103"/>
      <c r="HQ29" s="103"/>
      <c r="HR29" s="103"/>
      <c r="HS29" s="103"/>
      <c r="HT29" s="103"/>
      <c r="HU29" s="103"/>
      <c r="HV29" s="103"/>
      <c r="HW29" s="103"/>
      <c r="HX29" s="103"/>
      <c r="HY29" s="103"/>
      <c r="HZ29" s="103"/>
      <c r="IA29" s="103"/>
      <c r="IB29" s="103"/>
      <c r="IC29" s="103"/>
      <c r="ID29" s="103"/>
      <c r="IE29" s="103"/>
      <c r="IF29" s="103"/>
      <c r="IG29" s="103"/>
      <c r="IH29" s="103"/>
      <c r="II29" s="103"/>
      <c r="IJ29" s="103"/>
      <c r="IK29" s="103"/>
      <c r="IL29" s="103"/>
      <c r="IM29" s="103"/>
      <c r="IN29" s="103"/>
      <c r="IO29" s="103"/>
      <c r="IP29" s="103"/>
      <c r="IQ29" s="103"/>
      <c r="IR29" s="103"/>
      <c r="IS29" s="103"/>
      <c r="IT29" s="103"/>
      <c r="IU29" s="103"/>
      <c r="IV29" s="103"/>
      <c r="IW29" s="103"/>
      <c r="IX29" s="103"/>
      <c r="IY29" s="103"/>
      <c r="IZ29" s="103"/>
      <c r="JA29" s="103"/>
      <c r="JB29" s="103"/>
      <c r="JC29" s="103"/>
      <c r="JD29" s="103"/>
      <c r="JE29" s="103"/>
      <c r="JF29" s="103"/>
      <c r="JG29" s="103"/>
      <c r="JH29" s="103"/>
      <c r="JI29" s="103"/>
      <c r="JJ29" s="103"/>
      <c r="JK29" s="103"/>
      <c r="JL29" s="103"/>
      <c r="JM29" s="104"/>
      <c r="JN29" s="102"/>
      <c r="JO29" s="103"/>
      <c r="JP29" s="103"/>
      <c r="JQ29" s="103"/>
      <c r="JR29" s="103"/>
      <c r="JS29" s="103"/>
      <c r="JT29" s="103"/>
      <c r="JU29" s="103"/>
      <c r="JV29" s="103"/>
      <c r="JW29" s="103"/>
      <c r="JX29" s="103"/>
      <c r="JY29" s="103"/>
      <c r="JZ29" s="103"/>
      <c r="KA29" s="103"/>
      <c r="KB29" s="103"/>
      <c r="KC29" s="103"/>
      <c r="KD29" s="103"/>
      <c r="KE29" s="103"/>
      <c r="KF29" s="103"/>
      <c r="KG29" s="103"/>
      <c r="KH29" s="103"/>
      <c r="KI29" s="103"/>
      <c r="KJ29" s="103"/>
      <c r="KK29" s="103"/>
      <c r="KL29" s="103"/>
      <c r="KM29" s="103"/>
      <c r="KN29" s="103"/>
      <c r="KO29" s="103"/>
      <c r="KP29" s="103"/>
      <c r="KQ29" s="103"/>
      <c r="KR29" s="103"/>
      <c r="KS29" s="103"/>
      <c r="KT29" s="103"/>
      <c r="KU29" s="103"/>
      <c r="KV29" s="103"/>
      <c r="KW29" s="103"/>
      <c r="KX29" s="103"/>
      <c r="KY29" s="103"/>
      <c r="KZ29" s="103"/>
      <c r="LA29" s="103"/>
      <c r="LB29" s="103"/>
      <c r="LC29" s="103"/>
      <c r="LD29" s="103"/>
      <c r="LE29" s="103"/>
      <c r="LF29" s="103"/>
      <c r="LG29" s="103"/>
      <c r="LH29" s="103"/>
      <c r="LI29" s="103"/>
      <c r="LJ29" s="103"/>
      <c r="LK29" s="103"/>
      <c r="LL29" s="103"/>
      <c r="LM29" s="103"/>
      <c r="LN29" s="103"/>
      <c r="LO29" s="103"/>
      <c r="LP29" s="103"/>
      <c r="LQ29" s="103"/>
      <c r="LR29" s="103"/>
      <c r="LS29" s="103"/>
      <c r="LT29" s="103"/>
      <c r="LU29" s="103"/>
      <c r="LV29" s="103"/>
      <c r="LW29" s="103"/>
      <c r="LX29" s="103"/>
      <c r="LY29" s="103"/>
      <c r="LZ29" s="103"/>
      <c r="MA29" s="103"/>
      <c r="MB29" s="103"/>
      <c r="MC29" s="103"/>
      <c r="MD29" s="103"/>
      <c r="ME29" s="103"/>
      <c r="MF29" s="103"/>
      <c r="MG29" s="103"/>
      <c r="MH29" s="103"/>
      <c r="MI29" s="103"/>
      <c r="MJ29" s="103"/>
      <c r="MK29" s="103"/>
      <c r="ML29" s="103"/>
      <c r="MM29" s="103"/>
      <c r="MN29" s="103"/>
      <c r="MO29" s="103"/>
      <c r="MP29" s="103"/>
      <c r="MQ29" s="103"/>
      <c r="MR29" s="103"/>
      <c r="MS29" s="103"/>
      <c r="MT29" s="103"/>
      <c r="MU29" s="103"/>
      <c r="MV29" s="103"/>
      <c r="MW29" s="103"/>
      <c r="MX29" s="103"/>
      <c r="MY29" s="104"/>
    </row>
    <row r="30" spans="2:363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5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  <c r="AK30" s="106"/>
      <c r="AL30" s="106"/>
      <c r="AM30" s="106"/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7"/>
      <c r="CP30" s="105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  <c r="DI30" s="106"/>
      <c r="DJ30" s="106"/>
      <c r="DK30" s="106"/>
      <c r="DL30" s="106"/>
      <c r="DM30" s="106"/>
      <c r="DN30" s="106"/>
      <c r="DO30" s="106"/>
      <c r="DP30" s="106"/>
      <c r="DQ30" s="106"/>
      <c r="DR30" s="106"/>
      <c r="DS30" s="106"/>
      <c r="DT30" s="106"/>
      <c r="DU30" s="106"/>
      <c r="DV30" s="106"/>
      <c r="DW30" s="106"/>
      <c r="DX30" s="106"/>
      <c r="DY30" s="106"/>
      <c r="DZ30" s="106"/>
      <c r="EA30" s="106"/>
      <c r="EB30" s="106"/>
      <c r="EC30" s="106"/>
      <c r="ED30" s="106"/>
      <c r="EE30" s="106"/>
      <c r="EF30" s="106"/>
      <c r="EG30" s="106"/>
      <c r="EH30" s="106"/>
      <c r="EI30" s="106"/>
      <c r="EJ30" s="106"/>
      <c r="EK30" s="106"/>
      <c r="EL30" s="106"/>
      <c r="EM30" s="106"/>
      <c r="EN30" s="106"/>
      <c r="EO30" s="106"/>
      <c r="EP30" s="106"/>
      <c r="EQ30" s="106"/>
      <c r="ER30" s="106"/>
      <c r="ES30" s="106"/>
      <c r="ET30" s="106"/>
      <c r="EU30" s="106"/>
      <c r="EV30" s="106"/>
      <c r="EW30" s="106"/>
      <c r="EX30" s="106"/>
      <c r="EY30" s="106"/>
      <c r="EZ30" s="106"/>
      <c r="FA30" s="106"/>
      <c r="FB30" s="106"/>
      <c r="FC30" s="106"/>
      <c r="FD30" s="106"/>
      <c r="FE30" s="106"/>
      <c r="FF30" s="106"/>
      <c r="FG30" s="106"/>
      <c r="FH30" s="106"/>
      <c r="FI30" s="106"/>
      <c r="FJ30" s="106"/>
      <c r="FK30" s="106"/>
      <c r="FL30" s="106"/>
      <c r="FM30" s="106"/>
      <c r="FN30" s="106"/>
      <c r="FO30" s="106"/>
      <c r="FP30" s="106"/>
      <c r="FQ30" s="106"/>
      <c r="FR30" s="106"/>
      <c r="FS30" s="106"/>
      <c r="FT30" s="106"/>
      <c r="FU30" s="106"/>
      <c r="FV30" s="106"/>
      <c r="FW30" s="106"/>
      <c r="FX30" s="106"/>
      <c r="FY30" s="106"/>
      <c r="FZ30" s="106"/>
      <c r="GA30" s="107"/>
      <c r="GB30" s="105"/>
      <c r="GC30" s="106"/>
      <c r="GD30" s="106"/>
      <c r="GE30" s="106"/>
      <c r="GF30" s="106"/>
      <c r="GG30" s="106"/>
      <c r="GH30" s="106"/>
      <c r="GI30" s="106"/>
      <c r="GJ30" s="106"/>
      <c r="GK30" s="106"/>
      <c r="GL30" s="106"/>
      <c r="GM30" s="106"/>
      <c r="GN30" s="106"/>
      <c r="GO30" s="106"/>
      <c r="GP30" s="106"/>
      <c r="GQ30" s="106"/>
      <c r="GR30" s="106"/>
      <c r="GS30" s="106"/>
      <c r="GT30" s="106"/>
      <c r="GU30" s="106"/>
      <c r="GV30" s="106"/>
      <c r="GW30" s="106"/>
      <c r="GX30" s="106"/>
      <c r="GY30" s="106"/>
      <c r="GZ30" s="106"/>
      <c r="HA30" s="106"/>
      <c r="HB30" s="106"/>
      <c r="HC30" s="106"/>
      <c r="HD30" s="106"/>
      <c r="HE30" s="106"/>
      <c r="HF30" s="106"/>
      <c r="HG30" s="106"/>
      <c r="HH30" s="106"/>
      <c r="HI30" s="106"/>
      <c r="HJ30" s="106"/>
      <c r="HK30" s="106"/>
      <c r="HL30" s="106"/>
      <c r="HM30" s="106"/>
      <c r="HN30" s="106"/>
      <c r="HO30" s="106"/>
      <c r="HP30" s="106"/>
      <c r="HQ30" s="106"/>
      <c r="HR30" s="106"/>
      <c r="HS30" s="106"/>
      <c r="HT30" s="106"/>
      <c r="HU30" s="106"/>
      <c r="HV30" s="106"/>
      <c r="HW30" s="106"/>
      <c r="HX30" s="106"/>
      <c r="HY30" s="106"/>
      <c r="HZ30" s="106"/>
      <c r="IA30" s="106"/>
      <c r="IB30" s="106"/>
      <c r="IC30" s="106"/>
      <c r="ID30" s="106"/>
      <c r="IE30" s="106"/>
      <c r="IF30" s="106"/>
      <c r="IG30" s="106"/>
      <c r="IH30" s="106"/>
      <c r="II30" s="106"/>
      <c r="IJ30" s="106"/>
      <c r="IK30" s="106"/>
      <c r="IL30" s="106"/>
      <c r="IM30" s="106"/>
      <c r="IN30" s="106"/>
      <c r="IO30" s="106"/>
      <c r="IP30" s="106"/>
      <c r="IQ30" s="106"/>
      <c r="IR30" s="106"/>
      <c r="IS30" s="106"/>
      <c r="IT30" s="106"/>
      <c r="IU30" s="106"/>
      <c r="IV30" s="106"/>
      <c r="IW30" s="106"/>
      <c r="IX30" s="106"/>
      <c r="IY30" s="106"/>
      <c r="IZ30" s="106"/>
      <c r="JA30" s="106"/>
      <c r="JB30" s="106"/>
      <c r="JC30" s="106"/>
      <c r="JD30" s="106"/>
      <c r="JE30" s="106"/>
      <c r="JF30" s="106"/>
      <c r="JG30" s="106"/>
      <c r="JH30" s="106"/>
      <c r="JI30" s="106"/>
      <c r="JJ30" s="106"/>
      <c r="JK30" s="106"/>
      <c r="JL30" s="106"/>
      <c r="JM30" s="107"/>
      <c r="JN30" s="105"/>
      <c r="JO30" s="106"/>
      <c r="JP30" s="106"/>
      <c r="JQ30" s="106"/>
      <c r="JR30" s="106"/>
      <c r="JS30" s="106"/>
      <c r="JT30" s="106"/>
      <c r="JU30" s="106"/>
      <c r="JV30" s="106"/>
      <c r="JW30" s="106"/>
      <c r="JX30" s="106"/>
      <c r="JY30" s="106"/>
      <c r="JZ30" s="106"/>
      <c r="KA30" s="106"/>
      <c r="KB30" s="106"/>
      <c r="KC30" s="106"/>
      <c r="KD30" s="106"/>
      <c r="KE30" s="106"/>
      <c r="KF30" s="106"/>
      <c r="KG30" s="106"/>
      <c r="KH30" s="106"/>
      <c r="KI30" s="106"/>
      <c r="KJ30" s="106"/>
      <c r="KK30" s="106"/>
      <c r="KL30" s="106"/>
      <c r="KM30" s="106"/>
      <c r="KN30" s="106"/>
      <c r="KO30" s="106"/>
      <c r="KP30" s="106"/>
      <c r="KQ30" s="106"/>
      <c r="KR30" s="106"/>
      <c r="KS30" s="106"/>
      <c r="KT30" s="106"/>
      <c r="KU30" s="106"/>
      <c r="KV30" s="106"/>
      <c r="KW30" s="106"/>
      <c r="KX30" s="106"/>
      <c r="KY30" s="106"/>
      <c r="KZ30" s="106"/>
      <c r="LA30" s="106"/>
      <c r="LB30" s="106"/>
      <c r="LC30" s="106"/>
      <c r="LD30" s="106"/>
      <c r="LE30" s="106"/>
      <c r="LF30" s="106"/>
      <c r="LG30" s="106"/>
      <c r="LH30" s="106"/>
      <c r="LI30" s="106"/>
      <c r="LJ30" s="106"/>
      <c r="LK30" s="106"/>
      <c r="LL30" s="106"/>
      <c r="LM30" s="106"/>
      <c r="LN30" s="106"/>
      <c r="LO30" s="106"/>
      <c r="LP30" s="106"/>
      <c r="LQ30" s="106"/>
      <c r="LR30" s="106"/>
      <c r="LS30" s="106"/>
      <c r="LT30" s="106"/>
      <c r="LU30" s="106"/>
      <c r="LV30" s="106"/>
      <c r="LW30" s="106"/>
      <c r="LX30" s="106"/>
      <c r="LY30" s="106"/>
      <c r="LZ30" s="106"/>
      <c r="MA30" s="106"/>
      <c r="MB30" s="106"/>
      <c r="MC30" s="106"/>
      <c r="MD30" s="106"/>
      <c r="ME30" s="106"/>
      <c r="MF30" s="106"/>
      <c r="MG30" s="106"/>
      <c r="MH30" s="106"/>
      <c r="MI30" s="106"/>
      <c r="MJ30" s="106"/>
      <c r="MK30" s="106"/>
      <c r="ML30" s="106"/>
      <c r="MM30" s="106"/>
      <c r="MN30" s="106"/>
      <c r="MO30" s="106"/>
      <c r="MP30" s="106"/>
      <c r="MQ30" s="106"/>
      <c r="MR30" s="106"/>
      <c r="MS30" s="106"/>
      <c r="MT30" s="106"/>
      <c r="MU30" s="106"/>
      <c r="MV30" s="106"/>
      <c r="MW30" s="106"/>
      <c r="MX30" s="106"/>
      <c r="MY30" s="107"/>
    </row>
  </sheetData>
  <sheetProtection insertRows="0" selectLockedCells="1"/>
  <mergeCells count="17">
    <mergeCell ref="B27:B28"/>
    <mergeCell ref="D2:CO2"/>
    <mergeCell ref="CP2:GA2"/>
    <mergeCell ref="GB2:JM2"/>
    <mergeCell ref="B23:B24"/>
    <mergeCell ref="B25:B26"/>
    <mergeCell ref="JN2:MY2"/>
    <mergeCell ref="B15:B16"/>
    <mergeCell ref="B17:B18"/>
    <mergeCell ref="B19:B20"/>
    <mergeCell ref="B21:B2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51" t="s">
        <v>21</v>
      </c>
      <c r="C3" s="30">
        <v>0</v>
      </c>
    </row>
    <row r="4" spans="1:4" ht="19.5" customHeight="1" x14ac:dyDescent="0.2">
      <c r="A4" s="34"/>
      <c r="B4" s="15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78"/>
  <sheetViews>
    <sheetView view="pageBreakPreview" topLeftCell="A55" zoomScale="130" zoomScaleNormal="100" zoomScaleSheetLayoutView="130" workbookViewId="0">
      <selection activeCell="C25" sqref="C25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 t="s">
        <v>69</v>
      </c>
      <c r="D3" s="13"/>
    </row>
    <row r="4" spans="1:4" s="81" customFormat="1" ht="13.5" x14ac:dyDescent="0.2">
      <c r="A4" s="5" t="s">
        <v>28</v>
      </c>
      <c r="B4" s="6">
        <v>15</v>
      </c>
      <c r="C4" s="14" t="s">
        <v>43</v>
      </c>
      <c r="D4" s="14"/>
    </row>
    <row r="5" spans="1:4" s="81" customFormat="1" ht="13.5" x14ac:dyDescent="0.2">
      <c r="A5" s="5" t="s">
        <v>21</v>
      </c>
      <c r="B5" s="6">
        <v>3</v>
      </c>
      <c r="C5" s="14" t="s">
        <v>51</v>
      </c>
      <c r="D5" s="14"/>
    </row>
    <row r="6" spans="1:4" s="81" customFormat="1" ht="13.5" x14ac:dyDescent="0.2">
      <c r="A6" s="5" t="s">
        <v>42</v>
      </c>
      <c r="B6" s="6">
        <v>1</v>
      </c>
      <c r="C6" s="14" t="s">
        <v>44</v>
      </c>
      <c r="D6" s="14"/>
    </row>
    <row r="7" spans="1:4" s="81" customFormat="1" ht="27" x14ac:dyDescent="0.2">
      <c r="A7" s="5" t="s">
        <v>34</v>
      </c>
      <c r="B7" s="6">
        <v>5</v>
      </c>
      <c r="C7" s="14" t="s">
        <v>53</v>
      </c>
      <c r="D7" s="14"/>
    </row>
    <row r="8" spans="1:4" s="81" customFormat="1" ht="13.5" x14ac:dyDescent="0.2">
      <c r="A8" s="5"/>
      <c r="B8" s="6"/>
      <c r="C8" s="14" t="s">
        <v>66</v>
      </c>
      <c r="D8" s="14"/>
    </row>
    <row r="9" spans="1:4" s="81" customFormat="1" ht="13.5" x14ac:dyDescent="0.2">
      <c r="A9" s="5" t="s">
        <v>29</v>
      </c>
      <c r="B9" s="6">
        <v>12</v>
      </c>
      <c r="C9" s="14" t="s">
        <v>45</v>
      </c>
      <c r="D9" s="14"/>
    </row>
    <row r="10" spans="1:4" s="81" customFormat="1" ht="13.5" x14ac:dyDescent="0.2">
      <c r="A10" s="6"/>
      <c r="B10" s="6"/>
      <c r="C10" s="14" t="s">
        <v>67</v>
      </c>
      <c r="D10" s="14"/>
    </row>
    <row r="11" spans="1:4" s="81" customFormat="1" ht="13.5" x14ac:dyDescent="0.2">
      <c r="A11" s="6" t="s">
        <v>30</v>
      </c>
      <c r="B11" s="6">
        <v>9</v>
      </c>
      <c r="C11" s="14" t="s">
        <v>46</v>
      </c>
      <c r="D11" s="14"/>
    </row>
    <row r="12" spans="1:4" s="81" customFormat="1" ht="13.5" x14ac:dyDescent="0.2">
      <c r="A12" s="6" t="s">
        <v>31</v>
      </c>
      <c r="B12" s="6">
        <v>12</v>
      </c>
      <c r="C12" s="14" t="s">
        <v>47</v>
      </c>
      <c r="D12" s="14"/>
    </row>
    <row r="13" spans="1:4" s="81" customFormat="1" ht="13.5" x14ac:dyDescent="0.2">
      <c r="A13" s="6" t="s">
        <v>33</v>
      </c>
      <c r="B13" s="6">
        <v>6</v>
      </c>
      <c r="C13" s="14" t="s">
        <v>48</v>
      </c>
      <c r="D13" s="14"/>
    </row>
    <row r="14" spans="1:4" s="81" customFormat="1" ht="13.5" x14ac:dyDescent="0.2">
      <c r="A14" s="6"/>
      <c r="B14" s="6"/>
      <c r="C14" s="14" t="s">
        <v>68</v>
      </c>
      <c r="D14" s="14"/>
    </row>
    <row r="15" spans="1:4" s="81" customFormat="1" ht="13.5" x14ac:dyDescent="0.2">
      <c r="A15" s="6" t="s">
        <v>32</v>
      </c>
      <c r="B15" s="6">
        <v>9</v>
      </c>
      <c r="C15" s="14" t="s">
        <v>49</v>
      </c>
      <c r="D15" s="14"/>
    </row>
    <row r="16" spans="1:4" s="81" customFormat="1" ht="13.5" x14ac:dyDescent="0.2">
      <c r="A16" s="6" t="s">
        <v>33</v>
      </c>
      <c r="B16" s="6">
        <v>9</v>
      </c>
      <c r="C16" s="14" t="s">
        <v>50</v>
      </c>
      <c r="D16" s="14"/>
    </row>
    <row r="17" spans="1:9" s="81" customFormat="1" ht="14.25" thickBot="1" x14ac:dyDescent="0.25">
      <c r="A17" s="6" t="s">
        <v>35</v>
      </c>
      <c r="B17" s="6">
        <v>9</v>
      </c>
      <c r="C17" s="14" t="s">
        <v>52</v>
      </c>
      <c r="D17" s="15"/>
    </row>
    <row r="18" spans="1:9" ht="14.25" thickBot="1" x14ac:dyDescent="0.25">
      <c r="A18" s="16" t="s">
        <v>22</v>
      </c>
      <c r="B18" s="16">
        <f>SUM(B3:B17)</f>
        <v>90</v>
      </c>
      <c r="C18" s="83" t="s">
        <v>36</v>
      </c>
      <c r="D18" s="17"/>
    </row>
    <row r="19" spans="1:9" ht="15" thickBot="1" x14ac:dyDescent="0.35">
      <c r="A19" s="18"/>
      <c r="B19" s="18"/>
      <c r="C19" s="18"/>
      <c r="D19" s="18"/>
    </row>
    <row r="20" spans="1:9" ht="18.75" thickBot="1" x14ac:dyDescent="0.25">
      <c r="A20" s="10" t="s">
        <v>14</v>
      </c>
      <c r="B20" s="11">
        <v>2</v>
      </c>
      <c r="C20" s="31"/>
      <c r="D20" s="33"/>
    </row>
    <row r="21" spans="1:9" ht="27.75" thickBot="1" x14ac:dyDescent="0.25">
      <c r="A21" s="12" t="s">
        <v>3</v>
      </c>
      <c r="B21" s="32" t="s">
        <v>15</v>
      </c>
      <c r="C21" s="12" t="s">
        <v>7</v>
      </c>
      <c r="D21" s="12" t="s">
        <v>13</v>
      </c>
    </row>
    <row r="22" spans="1:9" ht="13.5" x14ac:dyDescent="0.2">
      <c r="A22" s="109"/>
      <c r="B22" s="110"/>
      <c r="C22" s="111" t="s">
        <v>65</v>
      </c>
      <c r="D22" s="13"/>
    </row>
    <row r="23" spans="1:9" ht="13.5" x14ac:dyDescent="0.2">
      <c r="A23" s="112" t="s">
        <v>21</v>
      </c>
      <c r="B23" s="113">
        <v>24</v>
      </c>
      <c r="C23" s="114" t="s">
        <v>78</v>
      </c>
      <c r="D23" s="14"/>
    </row>
    <row r="24" spans="1:9" ht="13.5" x14ac:dyDescent="0.2">
      <c r="A24" s="5"/>
      <c r="B24" s="6"/>
      <c r="C24" s="14" t="s">
        <v>66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34</v>
      </c>
      <c r="B25" s="6">
        <v>3</v>
      </c>
      <c r="C25" s="14" t="s">
        <v>55</v>
      </c>
      <c r="D25" s="14"/>
      <c r="E25" s="37"/>
      <c r="F25" s="54"/>
      <c r="G25" s="55"/>
      <c r="H25" s="56"/>
      <c r="I25" s="37"/>
    </row>
    <row r="26" spans="1:9" ht="15" x14ac:dyDescent="0.2">
      <c r="A26" s="6" t="s">
        <v>29</v>
      </c>
      <c r="B26" s="6">
        <v>9</v>
      </c>
      <c r="C26" s="14" t="s">
        <v>56</v>
      </c>
      <c r="D26" s="14"/>
      <c r="E26" s="37"/>
      <c r="F26" s="57"/>
      <c r="G26" s="53"/>
      <c r="H26" s="53"/>
      <c r="I26" s="37"/>
    </row>
    <row r="27" spans="1:9" ht="13.5" x14ac:dyDescent="0.2">
      <c r="A27" s="6"/>
      <c r="B27" s="6"/>
      <c r="C27" s="14" t="s">
        <v>67</v>
      </c>
      <c r="D27" s="14"/>
      <c r="E27" s="37"/>
      <c r="F27" s="59"/>
      <c r="G27" s="60"/>
      <c r="H27" s="60"/>
      <c r="I27" s="37"/>
    </row>
    <row r="28" spans="1:9" ht="13.5" x14ac:dyDescent="0.2">
      <c r="A28" s="6" t="s">
        <v>30</v>
      </c>
      <c r="B28" s="6">
        <v>6</v>
      </c>
      <c r="C28" s="14" t="s">
        <v>57</v>
      </c>
      <c r="D28" s="14"/>
      <c r="E28" s="37"/>
      <c r="F28" s="59"/>
      <c r="G28" s="60"/>
      <c r="H28" s="60"/>
      <c r="I28" s="37"/>
    </row>
    <row r="29" spans="1:9" ht="13.5" x14ac:dyDescent="0.2">
      <c r="A29" s="6" t="s">
        <v>31</v>
      </c>
      <c r="B29" s="6">
        <v>6</v>
      </c>
      <c r="C29" s="14" t="s">
        <v>70</v>
      </c>
      <c r="D29" s="14"/>
      <c r="E29" s="37"/>
      <c r="F29" s="59"/>
      <c r="G29" s="60"/>
      <c r="H29" s="60"/>
      <c r="I29" s="37"/>
    </row>
    <row r="30" spans="1:9" ht="13.5" x14ac:dyDescent="0.2">
      <c r="A30" s="6" t="s">
        <v>33</v>
      </c>
      <c r="B30" s="6">
        <v>3</v>
      </c>
      <c r="C30" s="14" t="s">
        <v>71</v>
      </c>
      <c r="D30" s="14"/>
      <c r="E30" s="37"/>
      <c r="F30" s="59"/>
      <c r="G30" s="60"/>
      <c r="H30" s="60"/>
      <c r="I30" s="37"/>
    </row>
    <row r="31" spans="1:9" ht="13.5" x14ac:dyDescent="0.2">
      <c r="A31" s="6" t="s">
        <v>32</v>
      </c>
      <c r="B31" s="6">
        <v>6</v>
      </c>
      <c r="C31" s="14" t="s">
        <v>72</v>
      </c>
      <c r="D31" s="14"/>
      <c r="E31" s="37"/>
      <c r="F31" s="59"/>
      <c r="G31" s="60"/>
      <c r="H31" s="60"/>
      <c r="I31" s="37"/>
    </row>
    <row r="32" spans="1:9" ht="13.5" x14ac:dyDescent="0.2">
      <c r="A32" s="6" t="s">
        <v>33</v>
      </c>
      <c r="B32" s="6">
        <v>3</v>
      </c>
      <c r="C32" s="14" t="s">
        <v>73</v>
      </c>
      <c r="D32" s="14"/>
      <c r="E32" s="37"/>
      <c r="F32" s="59"/>
      <c r="G32" s="60"/>
      <c r="H32" s="60"/>
      <c r="I32" s="37"/>
    </row>
    <row r="33" spans="1:9" ht="13.5" x14ac:dyDescent="0.2">
      <c r="A33" s="6" t="s">
        <v>35</v>
      </c>
      <c r="B33" s="6">
        <v>3</v>
      </c>
      <c r="C33" s="14" t="s">
        <v>79</v>
      </c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 t="s">
        <v>68</v>
      </c>
      <c r="D34" s="14"/>
      <c r="E34" s="37"/>
      <c r="F34" s="59"/>
      <c r="G34" s="60"/>
      <c r="H34" s="60"/>
      <c r="I34" s="37"/>
    </row>
    <row r="35" spans="1:9" ht="27" x14ac:dyDescent="0.2">
      <c r="A35" s="6" t="s">
        <v>34</v>
      </c>
      <c r="B35" s="6">
        <v>3</v>
      </c>
      <c r="C35" s="14" t="s">
        <v>74</v>
      </c>
      <c r="D35" s="14"/>
      <c r="E35" s="37"/>
      <c r="F35" s="59"/>
      <c r="G35" s="60"/>
      <c r="H35" s="60"/>
      <c r="I35" s="37"/>
    </row>
    <row r="36" spans="1:9" ht="13.5" x14ac:dyDescent="0.2">
      <c r="A36" s="6" t="s">
        <v>29</v>
      </c>
      <c r="B36" s="6">
        <v>9</v>
      </c>
      <c r="C36" s="14" t="s">
        <v>75</v>
      </c>
      <c r="D36" s="14"/>
      <c r="E36" s="37"/>
      <c r="F36" s="59"/>
      <c r="G36" s="60"/>
      <c r="H36" s="60"/>
      <c r="I36" s="37"/>
    </row>
    <row r="37" spans="1:9" ht="13.5" x14ac:dyDescent="0.2">
      <c r="A37" s="6" t="s">
        <v>30</v>
      </c>
      <c r="B37" s="6">
        <v>6</v>
      </c>
      <c r="C37" s="14" t="s">
        <v>76</v>
      </c>
      <c r="D37" s="14"/>
      <c r="E37" s="37"/>
      <c r="F37" s="59"/>
      <c r="G37" s="60"/>
      <c r="H37" s="60"/>
      <c r="I37" s="37"/>
    </row>
    <row r="38" spans="1:9" ht="13.5" x14ac:dyDescent="0.2">
      <c r="A38" s="6" t="s">
        <v>31</v>
      </c>
      <c r="B38" s="6">
        <v>6</v>
      </c>
      <c r="C38" s="14" t="s">
        <v>77</v>
      </c>
      <c r="D38" s="14"/>
      <c r="E38" s="37"/>
      <c r="F38" s="59"/>
      <c r="G38" s="60"/>
      <c r="H38" s="60"/>
      <c r="I38" s="37"/>
    </row>
    <row r="39" spans="1:9" ht="14.25" thickBot="1" x14ac:dyDescent="0.25">
      <c r="A39" s="7" t="s">
        <v>33</v>
      </c>
      <c r="B39" s="7">
        <v>3</v>
      </c>
      <c r="C39" s="15" t="s">
        <v>71</v>
      </c>
      <c r="D39" s="15"/>
      <c r="E39" s="37"/>
      <c r="F39" s="59"/>
      <c r="G39" s="60"/>
      <c r="H39" s="60"/>
      <c r="I39" s="37"/>
    </row>
    <row r="40" spans="1:9" ht="14.25" thickBot="1" x14ac:dyDescent="0.25">
      <c r="A40" s="16" t="s">
        <v>22</v>
      </c>
      <c r="B40" s="16">
        <f>SUM(B22:B39)</f>
        <v>90</v>
      </c>
      <c r="C40" s="83" t="s">
        <v>36</v>
      </c>
      <c r="D40" s="17"/>
      <c r="E40" s="37"/>
      <c r="F40" s="59"/>
      <c r="G40" s="60"/>
      <c r="H40" s="60"/>
      <c r="I40" s="37"/>
    </row>
    <row r="41" spans="1:9" ht="15" thickBot="1" x14ac:dyDescent="0.35">
      <c r="A41" s="18"/>
      <c r="B41" s="18"/>
      <c r="C41" s="18"/>
      <c r="D41" s="18"/>
      <c r="E41" s="37"/>
      <c r="F41" s="59"/>
      <c r="G41" s="60"/>
      <c r="H41" s="60"/>
      <c r="I41" s="37"/>
    </row>
    <row r="42" spans="1:9" ht="18.75" thickBot="1" x14ac:dyDescent="0.25">
      <c r="A42" s="10" t="s">
        <v>14</v>
      </c>
      <c r="B42" s="11">
        <v>3</v>
      </c>
      <c r="C42" s="31"/>
      <c r="D42" s="33"/>
      <c r="E42" s="37"/>
      <c r="F42" s="59"/>
      <c r="G42" s="60"/>
      <c r="H42" s="60"/>
      <c r="I42" s="37"/>
    </row>
    <row r="43" spans="1:9" ht="27.75" thickBot="1" x14ac:dyDescent="0.25">
      <c r="A43" s="12" t="s">
        <v>3</v>
      </c>
      <c r="B43" s="32" t="s">
        <v>15</v>
      </c>
      <c r="C43" s="12" t="s">
        <v>7</v>
      </c>
      <c r="D43" s="12" t="s">
        <v>13</v>
      </c>
      <c r="E43" s="37"/>
      <c r="F43" s="59"/>
      <c r="G43" s="60"/>
      <c r="H43" s="60"/>
      <c r="I43" s="37"/>
    </row>
    <row r="44" spans="1:9" ht="13.5" x14ac:dyDescent="0.2">
      <c r="A44" s="9"/>
      <c r="B44" s="8"/>
      <c r="C44" s="13" t="s">
        <v>65</v>
      </c>
      <c r="D44" s="13"/>
      <c r="E44" s="37"/>
      <c r="F44" s="59"/>
      <c r="G44" s="60"/>
      <c r="H44" s="60"/>
      <c r="I44" s="37"/>
    </row>
    <row r="45" spans="1:9" ht="13.5" x14ac:dyDescent="0.2">
      <c r="A45" s="5" t="s">
        <v>32</v>
      </c>
      <c r="B45" s="6">
        <v>6</v>
      </c>
      <c r="C45" s="14" t="s">
        <v>80</v>
      </c>
      <c r="D45" s="14"/>
      <c r="E45" s="37"/>
      <c r="F45" s="61"/>
      <c r="G45" s="62"/>
      <c r="H45" s="62"/>
      <c r="I45" s="37"/>
    </row>
    <row r="46" spans="1:9" ht="14.25" x14ac:dyDescent="0.3">
      <c r="A46" s="5" t="s">
        <v>33</v>
      </c>
      <c r="B46" s="6">
        <v>3</v>
      </c>
      <c r="C46" s="14" t="s">
        <v>81</v>
      </c>
      <c r="D46" s="14"/>
      <c r="E46" s="37"/>
      <c r="F46" s="63"/>
      <c r="G46" s="63"/>
      <c r="H46" s="63"/>
      <c r="I46" s="37"/>
    </row>
    <row r="47" spans="1:9" ht="13.5" x14ac:dyDescent="0.2">
      <c r="A47" s="5" t="s">
        <v>35</v>
      </c>
      <c r="B47" s="6">
        <v>3</v>
      </c>
      <c r="C47" s="14"/>
      <c r="D47" s="14"/>
      <c r="E47" s="37"/>
      <c r="F47" s="37"/>
      <c r="G47" s="37"/>
      <c r="H47" s="37"/>
      <c r="I47" s="37"/>
    </row>
    <row r="48" spans="1:9" ht="27" x14ac:dyDescent="0.2">
      <c r="A48" s="5" t="s">
        <v>34</v>
      </c>
      <c r="B48" s="6">
        <v>3</v>
      </c>
      <c r="C48" s="14" t="s">
        <v>84</v>
      </c>
      <c r="D48" s="14"/>
      <c r="E48" s="37"/>
      <c r="F48" s="37"/>
      <c r="G48" s="37"/>
      <c r="H48" s="37"/>
      <c r="I48" s="37"/>
    </row>
    <row r="49" spans="1:9" ht="13.5" x14ac:dyDescent="0.2">
      <c r="A49" s="5" t="s">
        <v>29</v>
      </c>
      <c r="B49" s="6">
        <v>6</v>
      </c>
      <c r="C49" s="14" t="s">
        <v>83</v>
      </c>
      <c r="D49" s="14"/>
      <c r="E49" s="37"/>
      <c r="F49" s="37"/>
      <c r="G49" s="37"/>
      <c r="H49" s="37"/>
      <c r="I49" s="37"/>
    </row>
    <row r="50" spans="1:9" ht="13.5" x14ac:dyDescent="0.2">
      <c r="A50" s="6" t="s">
        <v>30</v>
      </c>
      <c r="B50" s="6">
        <v>3</v>
      </c>
      <c r="C50" s="14" t="s">
        <v>82</v>
      </c>
      <c r="D50" s="14"/>
    </row>
    <row r="51" spans="1:9" ht="13.5" x14ac:dyDescent="0.2">
      <c r="A51" s="6"/>
      <c r="B51" s="6"/>
      <c r="C51" s="14" t="s">
        <v>66</v>
      </c>
      <c r="D51" s="14"/>
    </row>
    <row r="52" spans="1:9" ht="13.5" x14ac:dyDescent="0.25">
      <c r="A52" s="6" t="s">
        <v>31</v>
      </c>
      <c r="B52" s="6">
        <v>6</v>
      </c>
      <c r="C52" s="115" t="s">
        <v>85</v>
      </c>
      <c r="D52" s="14"/>
    </row>
    <row r="53" spans="1:9" ht="13.5" x14ac:dyDescent="0.2">
      <c r="A53" s="6" t="s">
        <v>33</v>
      </c>
      <c r="B53" s="6">
        <v>6</v>
      </c>
      <c r="C53" s="14" t="s">
        <v>86</v>
      </c>
      <c r="D53" s="14"/>
    </row>
    <row r="54" spans="1:9" ht="13.5" x14ac:dyDescent="0.2">
      <c r="A54" s="6"/>
      <c r="B54" s="6"/>
      <c r="C54" s="14" t="s">
        <v>67</v>
      </c>
      <c r="D54" s="14"/>
    </row>
    <row r="55" spans="1:9" ht="13.5" x14ac:dyDescent="0.2">
      <c r="A55" s="6" t="s">
        <v>32</v>
      </c>
      <c r="B55" s="6">
        <v>9</v>
      </c>
      <c r="C55" s="14" t="s">
        <v>87</v>
      </c>
      <c r="D55" s="14"/>
    </row>
    <row r="56" spans="1:9" ht="13.5" x14ac:dyDescent="0.2">
      <c r="A56" s="6" t="s">
        <v>33</v>
      </c>
      <c r="B56" s="6">
        <v>6</v>
      </c>
      <c r="C56" s="14" t="s">
        <v>81</v>
      </c>
      <c r="D56" s="14"/>
    </row>
    <row r="57" spans="1:9" ht="13.5" x14ac:dyDescent="0.2">
      <c r="A57" s="6" t="s">
        <v>35</v>
      </c>
      <c r="B57" s="6">
        <v>12</v>
      </c>
      <c r="C57" s="14"/>
      <c r="D57" s="14"/>
    </row>
    <row r="58" spans="1:9" ht="13.5" x14ac:dyDescent="0.2">
      <c r="A58" s="6"/>
      <c r="B58" s="6"/>
      <c r="C58" s="14" t="s">
        <v>68</v>
      </c>
      <c r="D58" s="14"/>
    </row>
    <row r="59" spans="1:9" ht="13.5" x14ac:dyDescent="0.2">
      <c r="A59" s="6" t="s">
        <v>32</v>
      </c>
      <c r="B59" s="6">
        <v>9</v>
      </c>
      <c r="C59" s="14" t="s">
        <v>88</v>
      </c>
      <c r="D59" s="14"/>
    </row>
    <row r="60" spans="1:9" ht="13.5" x14ac:dyDescent="0.2">
      <c r="A60" s="6" t="s">
        <v>33</v>
      </c>
      <c r="B60" s="6">
        <v>6</v>
      </c>
      <c r="C60" s="14" t="s">
        <v>89</v>
      </c>
      <c r="D60" s="14"/>
    </row>
    <row r="61" spans="1:9" ht="27" x14ac:dyDescent="0.2">
      <c r="A61" s="6" t="s">
        <v>90</v>
      </c>
      <c r="B61" s="6">
        <v>6</v>
      </c>
      <c r="C61" s="14" t="s">
        <v>91</v>
      </c>
      <c r="D61" s="14"/>
    </row>
    <row r="62" spans="1:9" ht="14.25" thickBot="1" x14ac:dyDescent="0.25">
      <c r="A62" s="7" t="s">
        <v>35</v>
      </c>
      <c r="B62" s="7">
        <v>6</v>
      </c>
      <c r="C62" s="15" t="s">
        <v>92</v>
      </c>
      <c r="D62" s="15"/>
    </row>
    <row r="63" spans="1:9" ht="14.25" thickBot="1" x14ac:dyDescent="0.25">
      <c r="A63" s="16" t="s">
        <v>22</v>
      </c>
      <c r="B63" s="16">
        <f>SUM(B44:B62)</f>
        <v>90</v>
      </c>
      <c r="C63" s="83" t="s">
        <v>36</v>
      </c>
      <c r="D63" s="17"/>
    </row>
    <row r="64" spans="1:9" ht="15" thickBot="1" x14ac:dyDescent="0.35">
      <c r="A64" s="18"/>
      <c r="B64" s="18"/>
      <c r="C64" s="18"/>
      <c r="D64" s="18"/>
    </row>
    <row r="65" spans="1:4" ht="18.75" thickBot="1" x14ac:dyDescent="0.25">
      <c r="A65" s="10" t="s">
        <v>14</v>
      </c>
      <c r="B65" s="11">
        <v>4</v>
      </c>
      <c r="C65" s="31"/>
      <c r="D65" s="33"/>
    </row>
    <row r="66" spans="1:4" ht="27.75" thickBot="1" x14ac:dyDescent="0.25">
      <c r="A66" s="116" t="s">
        <v>3</v>
      </c>
      <c r="B66" s="117" t="s">
        <v>15</v>
      </c>
      <c r="C66" s="116" t="s">
        <v>7</v>
      </c>
      <c r="D66" s="12" t="s">
        <v>13</v>
      </c>
    </row>
    <row r="67" spans="1:4" ht="13.5" x14ac:dyDescent="0.2">
      <c r="A67" s="121"/>
      <c r="B67" s="122"/>
      <c r="C67" s="123" t="s">
        <v>65</v>
      </c>
      <c r="D67" s="13"/>
    </row>
    <row r="68" spans="1:4" ht="13.5" x14ac:dyDescent="0.2">
      <c r="A68" s="118" t="s">
        <v>21</v>
      </c>
      <c r="B68" s="119">
        <v>24</v>
      </c>
      <c r="C68" s="120" t="s">
        <v>54</v>
      </c>
      <c r="D68" s="14"/>
    </row>
    <row r="69" spans="1:4" ht="13.5" x14ac:dyDescent="0.2">
      <c r="A69" s="5"/>
      <c r="B69" s="6"/>
      <c r="C69" s="14" t="s">
        <v>66</v>
      </c>
      <c r="D69" s="14"/>
    </row>
    <row r="70" spans="1:4" ht="13.5" x14ac:dyDescent="0.2">
      <c r="A70" s="5" t="s">
        <v>30</v>
      </c>
      <c r="B70" s="6">
        <v>12</v>
      </c>
      <c r="C70" s="14" t="s">
        <v>93</v>
      </c>
      <c r="D70" s="14"/>
    </row>
    <row r="71" spans="1:4" ht="13.5" x14ac:dyDescent="0.2">
      <c r="A71" s="5"/>
      <c r="B71" s="6"/>
      <c r="C71" s="14" t="s">
        <v>67</v>
      </c>
      <c r="D71" s="14"/>
    </row>
    <row r="72" spans="1:4" ht="13.5" x14ac:dyDescent="0.2">
      <c r="A72" s="5" t="s">
        <v>94</v>
      </c>
      <c r="B72" s="6">
        <v>27</v>
      </c>
      <c r="C72" s="14" t="s">
        <v>95</v>
      </c>
      <c r="D72" s="14"/>
    </row>
    <row r="73" spans="1:4" ht="13.5" x14ac:dyDescent="0.2">
      <c r="A73" s="6"/>
      <c r="B73" s="6"/>
      <c r="C73" s="14" t="s">
        <v>68</v>
      </c>
      <c r="D73" s="14"/>
    </row>
    <row r="74" spans="1:4" ht="13.5" x14ac:dyDescent="0.2">
      <c r="A74" s="6" t="s">
        <v>21</v>
      </c>
      <c r="B74" s="6">
        <v>15</v>
      </c>
      <c r="C74" s="14" t="s">
        <v>96</v>
      </c>
      <c r="D74" s="14"/>
    </row>
    <row r="75" spans="1:4" ht="27" thickBot="1" x14ac:dyDescent="0.25">
      <c r="A75" s="7" t="s">
        <v>21</v>
      </c>
      <c r="B75" s="7">
        <v>12</v>
      </c>
      <c r="C75" s="124" t="s">
        <v>97</v>
      </c>
      <c r="D75" s="15"/>
    </row>
    <row r="76" spans="1:4" ht="14.25" thickBot="1" x14ac:dyDescent="0.25">
      <c r="A76" s="16" t="s">
        <v>22</v>
      </c>
      <c r="B76" s="16">
        <f>SUM(B67:B75)</f>
        <v>90</v>
      </c>
      <c r="C76" s="83" t="s">
        <v>36</v>
      </c>
      <c r="D76" s="17"/>
    </row>
    <row r="77" spans="1:4" ht="14.25" x14ac:dyDescent="0.3">
      <c r="A77" s="18"/>
      <c r="B77" s="18"/>
      <c r="C77" s="18"/>
      <c r="D77" s="18"/>
    </row>
    <row r="78" spans="1:4" x14ac:dyDescent="0.2">
      <c r="A78" s="84" t="s">
        <v>37</v>
      </c>
    </row>
  </sheetData>
  <sheetProtection insertRows="0" selectLockedCells="1"/>
  <dataValidations count="4">
    <dataValidation type="list" allowBlank="1" showInputMessage="1" showErrorMessage="1" sqref="A3:A17 A22:A39 A44:A62 A67:A75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40 B63 B76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7 F27:F44 B22:B39 B44:B62 B67:B75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5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95"/>
  <sheetViews>
    <sheetView tabSelected="1" view="pageBreakPreview" topLeftCell="A37" zoomScale="115" zoomScaleNormal="100" zoomScaleSheetLayoutView="115" workbookViewId="0">
      <selection activeCell="D54" sqref="D5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133"/>
      <c r="B3" s="134"/>
      <c r="C3" s="135" t="s">
        <v>65</v>
      </c>
      <c r="D3" s="135"/>
    </row>
    <row r="4" spans="1:4" s="81" customFormat="1" ht="13.5" x14ac:dyDescent="0.2">
      <c r="A4" s="5" t="s">
        <v>28</v>
      </c>
      <c r="B4" s="6">
        <v>13</v>
      </c>
      <c r="C4" s="14" t="s">
        <v>58</v>
      </c>
      <c r="D4" s="108" t="s">
        <v>60</v>
      </c>
    </row>
    <row r="5" spans="1:4" s="81" customFormat="1" ht="13.5" x14ac:dyDescent="0.2">
      <c r="A5" s="5" t="s">
        <v>21</v>
      </c>
      <c r="B5" s="6">
        <v>2</v>
      </c>
      <c r="C5" s="14" t="s">
        <v>51</v>
      </c>
      <c r="D5" s="108"/>
    </row>
    <row r="6" spans="1:4" s="81" customFormat="1" ht="13.5" x14ac:dyDescent="0.2">
      <c r="A6" s="5" t="s">
        <v>42</v>
      </c>
      <c r="B6" s="6">
        <v>1</v>
      </c>
      <c r="C6" s="14" t="s">
        <v>59</v>
      </c>
      <c r="D6" s="108" t="s">
        <v>61</v>
      </c>
    </row>
    <row r="7" spans="1:4" s="81" customFormat="1" ht="13.5" x14ac:dyDescent="0.2">
      <c r="A7" s="5" t="s">
        <v>28</v>
      </c>
      <c r="B7" s="6">
        <v>7</v>
      </c>
      <c r="C7" s="14" t="s">
        <v>62</v>
      </c>
      <c r="D7" s="14" t="s">
        <v>63</v>
      </c>
    </row>
    <row r="8" spans="1:4" s="81" customFormat="1" ht="13.5" x14ac:dyDescent="0.2">
      <c r="A8" s="5" t="s">
        <v>28</v>
      </c>
      <c r="B8" s="6">
        <v>1</v>
      </c>
      <c r="C8" s="14" t="s">
        <v>64</v>
      </c>
      <c r="D8" s="14"/>
    </row>
    <row r="9" spans="1:4" s="81" customFormat="1" ht="13.5" x14ac:dyDescent="0.2">
      <c r="A9" s="136"/>
      <c r="B9" s="140"/>
      <c r="C9" s="139" t="s">
        <v>66</v>
      </c>
      <c r="D9" s="139"/>
    </row>
    <row r="10" spans="1:4" s="81" customFormat="1" ht="13.5" x14ac:dyDescent="0.2">
      <c r="A10" s="5" t="s">
        <v>28</v>
      </c>
      <c r="B10" s="6">
        <v>4</v>
      </c>
      <c r="C10" s="14" t="s">
        <v>98</v>
      </c>
      <c r="D10" s="14"/>
    </row>
    <row r="11" spans="1:4" s="81" customFormat="1" ht="13.5" x14ac:dyDescent="0.2">
      <c r="A11" s="5" t="s">
        <v>29</v>
      </c>
      <c r="B11" s="6">
        <v>2</v>
      </c>
      <c r="C11" s="14" t="s">
        <v>99</v>
      </c>
      <c r="D11" s="108" t="s">
        <v>101</v>
      </c>
    </row>
    <row r="12" spans="1:4" s="81" customFormat="1" ht="25.5" x14ac:dyDescent="0.2">
      <c r="A12" s="6" t="s">
        <v>100</v>
      </c>
      <c r="B12" s="6">
        <v>5</v>
      </c>
      <c r="C12" s="14" t="s">
        <v>102</v>
      </c>
      <c r="D12" s="108" t="s">
        <v>122</v>
      </c>
    </row>
    <row r="13" spans="1:4" s="81" customFormat="1" ht="13.5" x14ac:dyDescent="0.2">
      <c r="A13" s="6" t="s">
        <v>28</v>
      </c>
      <c r="B13" s="6">
        <v>1</v>
      </c>
      <c r="C13" s="14" t="s">
        <v>64</v>
      </c>
      <c r="D13" s="14"/>
    </row>
    <row r="14" spans="1:4" s="81" customFormat="1" ht="13.5" x14ac:dyDescent="0.2">
      <c r="A14" s="140"/>
      <c r="B14" s="140"/>
      <c r="C14" s="139" t="s">
        <v>67</v>
      </c>
      <c r="D14" s="139"/>
    </row>
    <row r="15" spans="1:4" s="81" customFormat="1" ht="25.5" x14ac:dyDescent="0.2">
      <c r="A15" s="79" t="s">
        <v>100</v>
      </c>
      <c r="B15" s="79">
        <v>3</v>
      </c>
      <c r="C15" s="80" t="s">
        <v>103</v>
      </c>
      <c r="D15" s="108" t="s">
        <v>122</v>
      </c>
    </row>
    <row r="16" spans="1:4" s="81" customFormat="1" ht="13.5" x14ac:dyDescent="0.2">
      <c r="A16" s="79" t="s">
        <v>29</v>
      </c>
      <c r="B16" s="79">
        <v>3</v>
      </c>
      <c r="C16" s="80" t="s">
        <v>106</v>
      </c>
      <c r="D16" s="108" t="s">
        <v>101</v>
      </c>
    </row>
    <row r="17" spans="1:4" s="81" customFormat="1" ht="27" x14ac:dyDescent="0.2">
      <c r="A17" s="79" t="s">
        <v>100</v>
      </c>
      <c r="B17" s="79">
        <v>1</v>
      </c>
      <c r="C17" s="80" t="s">
        <v>105</v>
      </c>
      <c r="D17" s="108" t="s">
        <v>122</v>
      </c>
    </row>
    <row r="18" spans="1:4" s="81" customFormat="1" ht="13.5" x14ac:dyDescent="0.2">
      <c r="A18" s="79" t="s">
        <v>29</v>
      </c>
      <c r="B18" s="79">
        <v>1</v>
      </c>
      <c r="C18" s="80" t="s">
        <v>104</v>
      </c>
      <c r="D18" s="108" t="s">
        <v>101</v>
      </c>
    </row>
    <row r="19" spans="1:4" s="81" customFormat="1" ht="13.5" x14ac:dyDescent="0.2">
      <c r="A19" s="79" t="s">
        <v>30</v>
      </c>
      <c r="B19" s="79">
        <v>4</v>
      </c>
      <c r="C19" s="80" t="s">
        <v>107</v>
      </c>
      <c r="D19" s="130" t="s">
        <v>108</v>
      </c>
    </row>
    <row r="20" spans="1:4" s="81" customFormat="1" ht="13.5" x14ac:dyDescent="0.2">
      <c r="A20" s="79" t="s">
        <v>31</v>
      </c>
      <c r="B20" s="79">
        <v>2</v>
      </c>
      <c r="C20" s="80" t="s">
        <v>109</v>
      </c>
      <c r="D20" s="130" t="s">
        <v>119</v>
      </c>
    </row>
    <row r="21" spans="1:4" s="81" customFormat="1" ht="13.5" x14ac:dyDescent="0.2">
      <c r="A21" s="79" t="s">
        <v>28</v>
      </c>
      <c r="B21" s="79">
        <v>1</v>
      </c>
      <c r="C21" s="80" t="s">
        <v>64</v>
      </c>
      <c r="D21" s="130"/>
    </row>
    <row r="22" spans="1:4" s="81" customFormat="1" ht="13.5" x14ac:dyDescent="0.2">
      <c r="A22" s="79" t="s">
        <v>32</v>
      </c>
      <c r="B22" s="79">
        <v>2</v>
      </c>
      <c r="C22" s="80" t="s">
        <v>110</v>
      </c>
      <c r="D22" s="130" t="s">
        <v>111</v>
      </c>
    </row>
    <row r="23" spans="1:4" s="81" customFormat="1" ht="13.5" x14ac:dyDescent="0.2">
      <c r="A23" s="79" t="s">
        <v>100</v>
      </c>
      <c r="B23" s="79">
        <v>9</v>
      </c>
      <c r="C23" s="80" t="s">
        <v>112</v>
      </c>
      <c r="D23" s="130" t="s">
        <v>123</v>
      </c>
    </row>
    <row r="24" spans="1:4" s="81" customFormat="1" ht="13.5" x14ac:dyDescent="0.2">
      <c r="A24" s="79" t="s">
        <v>28</v>
      </c>
      <c r="B24" s="79">
        <v>1</v>
      </c>
      <c r="C24" s="80" t="s">
        <v>64</v>
      </c>
      <c r="D24" s="130"/>
    </row>
    <row r="25" spans="1:4" s="81" customFormat="1" ht="13.5" x14ac:dyDescent="0.2">
      <c r="A25" s="141"/>
      <c r="B25" s="141"/>
      <c r="C25" s="142" t="s">
        <v>68</v>
      </c>
      <c r="D25" s="143"/>
    </row>
    <row r="26" spans="1:4" s="81" customFormat="1" ht="13.5" x14ac:dyDescent="0.2">
      <c r="A26" s="79" t="s">
        <v>100</v>
      </c>
      <c r="B26" s="79">
        <v>2</v>
      </c>
      <c r="C26" s="80" t="s">
        <v>113</v>
      </c>
      <c r="D26" s="130" t="s">
        <v>123</v>
      </c>
    </row>
    <row r="27" spans="1:4" s="81" customFormat="1" ht="13.5" x14ac:dyDescent="0.2">
      <c r="A27" s="79" t="s">
        <v>32</v>
      </c>
      <c r="B27" s="79">
        <v>1</v>
      </c>
      <c r="C27" s="80" t="s">
        <v>114</v>
      </c>
      <c r="D27" s="130" t="s">
        <v>111</v>
      </c>
    </row>
    <row r="28" spans="1:4" s="81" customFormat="1" ht="27" x14ac:dyDescent="0.2">
      <c r="A28" s="79" t="s">
        <v>30</v>
      </c>
      <c r="B28" s="79">
        <v>2</v>
      </c>
      <c r="C28" s="80" t="s">
        <v>115</v>
      </c>
      <c r="D28" s="130" t="s">
        <v>108</v>
      </c>
    </row>
    <row r="29" spans="1:4" s="81" customFormat="1" ht="40.5" x14ac:dyDescent="0.2">
      <c r="A29" s="79" t="s">
        <v>31</v>
      </c>
      <c r="B29" s="79">
        <v>2</v>
      </c>
      <c r="C29" s="80" t="s">
        <v>116</v>
      </c>
      <c r="D29" s="130" t="s">
        <v>119</v>
      </c>
    </row>
    <row r="30" spans="1:4" s="81" customFormat="1" ht="13.5" x14ac:dyDescent="0.2">
      <c r="A30" s="79" t="s">
        <v>100</v>
      </c>
      <c r="B30" s="79">
        <v>7</v>
      </c>
      <c r="C30" s="80" t="s">
        <v>118</v>
      </c>
      <c r="D30" s="130" t="s">
        <v>117</v>
      </c>
    </row>
    <row r="31" spans="1:4" s="81" customFormat="1" ht="13.5" x14ac:dyDescent="0.2">
      <c r="A31" s="79" t="s">
        <v>28</v>
      </c>
      <c r="B31" s="79">
        <v>1</v>
      </c>
      <c r="C31" s="80" t="s">
        <v>64</v>
      </c>
      <c r="D31" s="130"/>
    </row>
    <row r="32" spans="1:4" s="81" customFormat="1" ht="27" x14ac:dyDescent="0.2">
      <c r="A32" s="79" t="s">
        <v>100</v>
      </c>
      <c r="B32" s="79">
        <v>11</v>
      </c>
      <c r="C32" s="80" t="s">
        <v>120</v>
      </c>
      <c r="D32" s="130" t="s">
        <v>121</v>
      </c>
    </row>
    <row r="33" spans="1:9" s="81" customFormat="1" ht="14.25" thickBot="1" x14ac:dyDescent="0.25">
      <c r="A33" s="7" t="s">
        <v>28</v>
      </c>
      <c r="B33" s="7">
        <v>1</v>
      </c>
      <c r="C33" s="15" t="s">
        <v>64</v>
      </c>
      <c r="D33" s="15"/>
    </row>
    <row r="34" spans="1:9" ht="14.25" thickBot="1" x14ac:dyDescent="0.25">
      <c r="A34" s="76" t="s">
        <v>22</v>
      </c>
      <c r="B34" s="76">
        <f>SUM(B3:B33)</f>
        <v>90</v>
      </c>
      <c r="C34" s="85" t="s">
        <v>36</v>
      </c>
      <c r="D34" s="77"/>
    </row>
    <row r="35" spans="1:9" ht="15" thickBot="1" x14ac:dyDescent="0.35">
      <c r="A35" s="78"/>
      <c r="B35" s="78"/>
      <c r="C35" s="78"/>
      <c r="D35" s="78"/>
    </row>
    <row r="36" spans="1:9" ht="18.75" thickBot="1" x14ac:dyDescent="0.25">
      <c r="A36" s="71" t="s">
        <v>14</v>
      </c>
      <c r="B36" s="72">
        <v>2</v>
      </c>
      <c r="C36" s="73" t="s">
        <v>23</v>
      </c>
      <c r="D36" s="82">
        <v>42891</v>
      </c>
    </row>
    <row r="37" spans="1:9" ht="27.75" thickBot="1" x14ac:dyDescent="0.25">
      <c r="A37" s="74" t="s">
        <v>3</v>
      </c>
      <c r="B37" s="75" t="s">
        <v>15</v>
      </c>
      <c r="C37" s="74" t="s">
        <v>7</v>
      </c>
      <c r="D37" s="74" t="s">
        <v>13</v>
      </c>
    </row>
    <row r="38" spans="1:9" ht="13.5" x14ac:dyDescent="0.2">
      <c r="A38" s="133"/>
      <c r="B38" s="134"/>
      <c r="C38" s="135" t="s">
        <v>65</v>
      </c>
      <c r="D38" s="135"/>
    </row>
    <row r="39" spans="1:9" ht="13.5" x14ac:dyDescent="0.2">
      <c r="A39" s="118" t="s">
        <v>21</v>
      </c>
      <c r="B39" s="131">
        <v>24</v>
      </c>
      <c r="C39" s="132" t="s">
        <v>130</v>
      </c>
      <c r="D39" s="120"/>
    </row>
    <row r="40" spans="1:9" ht="13.5" x14ac:dyDescent="0.2">
      <c r="A40" s="136"/>
      <c r="B40" s="137"/>
      <c r="C40" s="138" t="s">
        <v>66</v>
      </c>
      <c r="D40" s="139"/>
    </row>
    <row r="41" spans="1:9" ht="27" x14ac:dyDescent="0.2">
      <c r="A41" s="5" t="s">
        <v>100</v>
      </c>
      <c r="B41" s="119">
        <v>1</v>
      </c>
      <c r="C41" s="120" t="s">
        <v>124</v>
      </c>
      <c r="D41" s="14"/>
      <c r="E41" s="37"/>
      <c r="F41" s="37"/>
      <c r="G41" s="37"/>
      <c r="H41" s="37"/>
      <c r="I41" s="37"/>
    </row>
    <row r="42" spans="1:9" ht="12.75" customHeight="1" x14ac:dyDescent="0.2">
      <c r="A42" s="5" t="s">
        <v>100</v>
      </c>
      <c r="B42" s="6">
        <v>5</v>
      </c>
      <c r="C42" s="14" t="s">
        <v>125</v>
      </c>
      <c r="D42" s="14" t="s">
        <v>129</v>
      </c>
      <c r="E42" s="37"/>
      <c r="F42" s="54"/>
      <c r="G42" s="55"/>
      <c r="H42" s="56"/>
      <c r="I42" s="37"/>
    </row>
    <row r="43" spans="1:9" ht="25.5" x14ac:dyDescent="0.2">
      <c r="A43" s="5" t="s">
        <v>100</v>
      </c>
      <c r="B43" s="6">
        <v>5</v>
      </c>
      <c r="C43" s="14" t="s">
        <v>126</v>
      </c>
      <c r="D43" s="108" t="s">
        <v>128</v>
      </c>
      <c r="E43" s="37"/>
      <c r="F43" s="57"/>
      <c r="G43" s="53"/>
      <c r="H43" s="53"/>
      <c r="I43" s="37"/>
    </row>
    <row r="44" spans="1:9" ht="13.5" x14ac:dyDescent="0.2">
      <c r="A44" s="5" t="s">
        <v>28</v>
      </c>
      <c r="B44" s="6">
        <v>1</v>
      </c>
      <c r="C44" s="14" t="s">
        <v>127</v>
      </c>
      <c r="D44" s="14"/>
      <c r="E44" s="37"/>
      <c r="F44" s="59"/>
      <c r="G44" s="60"/>
      <c r="H44" s="60"/>
      <c r="I44" s="37"/>
    </row>
    <row r="45" spans="1:9" ht="13.5" x14ac:dyDescent="0.2">
      <c r="A45" s="136"/>
      <c r="B45" s="140"/>
      <c r="C45" s="139" t="s">
        <v>67</v>
      </c>
      <c r="D45" s="139"/>
      <c r="E45" s="37"/>
      <c r="F45" s="59"/>
      <c r="G45" s="60"/>
      <c r="H45" s="60"/>
      <c r="I45" s="37"/>
    </row>
    <row r="46" spans="1:9" ht="25.5" x14ac:dyDescent="0.2">
      <c r="A46" s="5" t="s">
        <v>100</v>
      </c>
      <c r="B46" s="6">
        <v>6</v>
      </c>
      <c r="C46" s="14" t="s">
        <v>131</v>
      </c>
      <c r="D46" s="108" t="s">
        <v>128</v>
      </c>
      <c r="E46" s="37"/>
      <c r="F46" s="59"/>
      <c r="G46" s="60"/>
      <c r="H46" s="60"/>
      <c r="I46" s="37"/>
    </row>
    <row r="47" spans="1:9" ht="27" x14ac:dyDescent="0.2">
      <c r="A47" s="5" t="s">
        <v>31</v>
      </c>
      <c r="B47" s="6">
        <v>8</v>
      </c>
      <c r="C47" s="14" t="s">
        <v>132</v>
      </c>
      <c r="D47" s="108" t="s">
        <v>119</v>
      </c>
      <c r="E47" s="37"/>
      <c r="F47" s="59"/>
      <c r="G47" s="60"/>
      <c r="H47" s="60"/>
      <c r="I47" s="37"/>
    </row>
    <row r="48" spans="1:9" ht="13.5" x14ac:dyDescent="0.2">
      <c r="A48" s="5" t="s">
        <v>28</v>
      </c>
      <c r="B48" s="6">
        <v>1</v>
      </c>
      <c r="C48" s="14" t="s">
        <v>127</v>
      </c>
      <c r="D48" s="14"/>
      <c r="E48" s="37"/>
      <c r="F48" s="59"/>
      <c r="G48" s="60"/>
      <c r="H48" s="60"/>
      <c r="I48" s="37"/>
    </row>
    <row r="49" spans="1:9" ht="25.5" x14ac:dyDescent="0.2">
      <c r="A49" s="6" t="s">
        <v>29</v>
      </c>
      <c r="B49" s="6">
        <v>11</v>
      </c>
      <c r="C49" s="14" t="s">
        <v>133</v>
      </c>
      <c r="D49" s="108" t="s">
        <v>134</v>
      </c>
      <c r="E49" s="37"/>
      <c r="F49" s="59"/>
      <c r="G49" s="60"/>
      <c r="H49" s="60"/>
      <c r="I49" s="37"/>
    </row>
    <row r="50" spans="1:9" ht="13.5" x14ac:dyDescent="0.2">
      <c r="A50" s="6" t="s">
        <v>28</v>
      </c>
      <c r="B50" s="6">
        <v>1</v>
      </c>
      <c r="C50" s="14" t="s">
        <v>127</v>
      </c>
      <c r="E50" s="37"/>
      <c r="F50" s="59"/>
      <c r="G50" s="60"/>
      <c r="H50" s="60"/>
      <c r="I50" s="37"/>
    </row>
    <row r="51" spans="1:9" ht="13.5" x14ac:dyDescent="0.2">
      <c r="A51" s="6"/>
      <c r="B51" s="6"/>
      <c r="C51" s="14"/>
      <c r="D51" s="14"/>
      <c r="E51" s="37"/>
      <c r="F51" s="59"/>
      <c r="G51" s="60"/>
      <c r="H51" s="60"/>
      <c r="I51" s="37"/>
    </row>
    <row r="52" spans="1:9" ht="13.5" x14ac:dyDescent="0.2">
      <c r="A52" s="79"/>
      <c r="B52" s="79"/>
      <c r="C52" s="80"/>
      <c r="D52" s="80"/>
      <c r="E52" s="37"/>
      <c r="F52" s="59"/>
      <c r="G52" s="60"/>
      <c r="H52" s="60"/>
      <c r="I52" s="37"/>
    </row>
    <row r="53" spans="1:9" ht="13.5" x14ac:dyDescent="0.2">
      <c r="A53" s="79"/>
      <c r="B53" s="79"/>
      <c r="C53" s="80"/>
      <c r="D53" s="80"/>
      <c r="E53" s="37"/>
      <c r="F53" s="61"/>
      <c r="G53" s="62"/>
      <c r="H53" s="62"/>
      <c r="I53" s="37"/>
    </row>
    <row r="54" spans="1:9" ht="15" thickBot="1" x14ac:dyDescent="0.35">
      <c r="A54" s="7"/>
      <c r="B54" s="7"/>
      <c r="C54" s="15"/>
      <c r="D54" s="15"/>
      <c r="E54" s="37"/>
      <c r="F54" s="63"/>
      <c r="G54" s="63"/>
      <c r="H54" s="63"/>
      <c r="I54" s="37"/>
    </row>
    <row r="55" spans="1:9" ht="14.25" thickBot="1" x14ac:dyDescent="0.25">
      <c r="A55" s="76" t="s">
        <v>22</v>
      </c>
      <c r="B55" s="76">
        <f>SUM(B38:B54)</f>
        <v>63</v>
      </c>
      <c r="C55" s="85" t="s">
        <v>36</v>
      </c>
      <c r="D55" s="77"/>
      <c r="E55" s="37"/>
      <c r="F55" s="37"/>
      <c r="G55" s="37"/>
      <c r="H55" s="37"/>
      <c r="I55" s="37"/>
    </row>
    <row r="56" spans="1:9" ht="15" thickBot="1" x14ac:dyDescent="0.35">
      <c r="A56" s="78"/>
      <c r="B56" s="78"/>
      <c r="C56" s="78"/>
      <c r="D56" s="78"/>
      <c r="E56" s="37"/>
      <c r="F56" s="37"/>
      <c r="G56" s="37"/>
      <c r="H56" s="37"/>
      <c r="I56" s="37"/>
    </row>
    <row r="57" spans="1:9" ht="18.75" thickBot="1" x14ac:dyDescent="0.25">
      <c r="A57" s="71" t="s">
        <v>14</v>
      </c>
      <c r="B57" s="72">
        <v>3</v>
      </c>
      <c r="C57" s="73" t="s">
        <v>23</v>
      </c>
      <c r="D57" s="82">
        <v>42898</v>
      </c>
      <c r="E57" s="37"/>
      <c r="F57" s="37"/>
      <c r="G57" s="37"/>
      <c r="H57" s="37"/>
      <c r="I57" s="37"/>
    </row>
    <row r="58" spans="1:9" ht="27.75" thickBot="1" x14ac:dyDescent="0.25">
      <c r="A58" s="74" t="s">
        <v>3</v>
      </c>
      <c r="B58" s="75" t="s">
        <v>15</v>
      </c>
      <c r="C58" s="74" t="s">
        <v>7</v>
      </c>
      <c r="D58" s="74" t="s">
        <v>13</v>
      </c>
    </row>
    <row r="59" spans="1:9" ht="13.5" x14ac:dyDescent="0.2">
      <c r="A59" s="9"/>
      <c r="B59" s="8"/>
      <c r="C59" s="13"/>
      <c r="D59" s="13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5"/>
      <c r="B63" s="6"/>
      <c r="C63" s="14"/>
      <c r="D63" s="14"/>
    </row>
    <row r="64" spans="1:9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6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79"/>
      <c r="B71" s="79"/>
      <c r="C71" s="80"/>
      <c r="D71" s="80"/>
    </row>
    <row r="72" spans="1:4" ht="13.5" x14ac:dyDescent="0.2">
      <c r="A72" s="79"/>
      <c r="B72" s="79"/>
      <c r="C72" s="80"/>
      <c r="D72" s="80"/>
    </row>
    <row r="73" spans="1:4" ht="14.25" thickBot="1" x14ac:dyDescent="0.25">
      <c r="A73" s="7"/>
      <c r="B73" s="7"/>
      <c r="C73" s="15"/>
      <c r="D73" s="15"/>
    </row>
    <row r="74" spans="1:4" ht="14.25" thickBot="1" x14ac:dyDescent="0.25">
      <c r="A74" s="76" t="s">
        <v>22</v>
      </c>
      <c r="B74" s="76">
        <f>SUM(B59:B73)</f>
        <v>0</v>
      </c>
      <c r="C74" s="85" t="s">
        <v>36</v>
      </c>
      <c r="D74" s="77"/>
    </row>
    <row r="75" spans="1:4" ht="15" thickBot="1" x14ac:dyDescent="0.35">
      <c r="A75" s="78"/>
      <c r="B75" s="78"/>
      <c r="C75" s="78"/>
      <c r="D75" s="78"/>
    </row>
    <row r="76" spans="1:4" ht="18.75" thickBot="1" x14ac:dyDescent="0.25">
      <c r="A76" s="71" t="s">
        <v>14</v>
      </c>
      <c r="B76" s="72">
        <v>4</v>
      </c>
      <c r="C76" s="73" t="s">
        <v>23</v>
      </c>
      <c r="D76" s="82">
        <v>42905</v>
      </c>
    </row>
    <row r="77" spans="1:4" ht="27.75" thickBot="1" x14ac:dyDescent="0.25">
      <c r="A77" s="74" t="s">
        <v>3</v>
      </c>
      <c r="B77" s="75" t="s">
        <v>15</v>
      </c>
      <c r="C77" s="74" t="s">
        <v>7</v>
      </c>
      <c r="D77" s="74" t="s">
        <v>13</v>
      </c>
    </row>
    <row r="78" spans="1:4" ht="13.5" x14ac:dyDescent="0.2">
      <c r="A78" s="9"/>
      <c r="B78" s="8"/>
      <c r="C78" s="13"/>
      <c r="D78" s="13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6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79"/>
      <c r="B90" s="79"/>
      <c r="C90" s="80"/>
      <c r="D90" s="80"/>
    </row>
    <row r="91" spans="1:4" ht="13.5" x14ac:dyDescent="0.2">
      <c r="A91" s="79"/>
      <c r="B91" s="79"/>
      <c r="C91" s="80"/>
      <c r="D91" s="80"/>
    </row>
    <row r="92" spans="1:4" ht="14.25" thickBot="1" x14ac:dyDescent="0.25">
      <c r="A92" s="7"/>
      <c r="B92" s="7"/>
      <c r="C92" s="15"/>
      <c r="D92" s="15"/>
    </row>
    <row r="93" spans="1:4" ht="14.25" thickBot="1" x14ac:dyDescent="0.25">
      <c r="A93" s="76" t="s">
        <v>22</v>
      </c>
      <c r="B93" s="76">
        <f>SUM(B78:B92)</f>
        <v>0</v>
      </c>
      <c r="C93" s="85" t="s">
        <v>36</v>
      </c>
      <c r="D93" s="77"/>
    </row>
    <row r="94" spans="1:4" ht="14.25" x14ac:dyDescent="0.3">
      <c r="A94" s="78"/>
      <c r="B94" s="78"/>
      <c r="C94" s="78"/>
      <c r="D94" s="78"/>
    </row>
    <row r="95" spans="1:4" x14ac:dyDescent="0.2">
      <c r="A95" s="84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53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44:F52 B78:B92 B3:B33 B59:B73 B38:B54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4 B55 B74 B93">
      <formula1>0</formula1>
      <formula2>NbPerWeek * NbQuartPer</formula2>
    </dataValidation>
    <dataValidation type="list" allowBlank="1" showInputMessage="1" showErrorMessage="1" sqref="A78:A92 A3:A33 A59:A73 A38:A54">
      <formula1>lstTasks</formula1>
    </dataValidation>
  </dataValidations>
  <hyperlinks>
    <hyperlink ref="D4" r:id="rId1"/>
    <hyperlink ref="D6" r:id="rId2"/>
    <hyperlink ref="D11" r:id="rId3"/>
    <hyperlink ref="D16" r:id="rId4"/>
    <hyperlink ref="D18" r:id="rId5"/>
    <hyperlink ref="D19" r:id="rId6"/>
    <hyperlink ref="D22" r:id="rId7"/>
    <hyperlink ref="D23" r:id="rId8"/>
    <hyperlink ref="D26" r:id="rId9"/>
    <hyperlink ref="D27" r:id="rId10"/>
    <hyperlink ref="D28" r:id="rId11"/>
    <hyperlink ref="D30" r:id="rId12"/>
    <hyperlink ref="D29" r:id="rId13"/>
    <hyperlink ref="D32" r:id="rId14"/>
    <hyperlink ref="D12" r:id="rId15"/>
    <hyperlink ref="D15" r:id="rId16"/>
    <hyperlink ref="D17" r:id="rId17"/>
    <hyperlink ref="D20" r:id="rId18"/>
    <hyperlink ref="D47" r:id="rId19"/>
    <hyperlink ref="D49" r:id="rId20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1"/>
  <headerFooter>
    <oddHeader>&amp;L&amp;"ETML L,Normal"&amp;24ETML</oddHeader>
    <oddFooter>&amp;C&amp;F&amp;L&amp;D</oddFooter>
  </headerFooter>
  <drawing r:id="rId22"/>
  <legacyDrawing r:id="rId23"/>
  <controls>
    <mc:AlternateContent xmlns:mc="http://schemas.openxmlformats.org/markup-compatibility/2006">
      <mc:Choice Requires="x14">
        <control shapeId="43009" r:id="rId24" name="btnImportRealisation">
          <controlPr defaultSize="0" autoLine="0" autoPict="0" r:id="rId2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2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2017-06-07T14:17:50Z</dcterms:modified>
  <cp:contentStatus>Version 8.0</cp:contentStatus>
</cp:coreProperties>
</file>