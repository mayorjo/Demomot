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JNLTRAV!$A$1:$D$118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117" i="156" l="1"/>
  <c r="B98" i="156"/>
  <c r="B64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<sst xmlns="http://schemas.openxmlformats.org/spreadsheetml/2006/main" count="427" uniqueCount="170">
  <si>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</si>
  <si>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</si>
  <si>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</si>
  <si>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</si>
  <si>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</si>
  <si>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</si>
  <si>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</si>
  <si>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</si>
  <si>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</si>
  <si>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</si>
  <si>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</si>
  <si>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</si>
  <si>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</si>
  <si>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</si>
  <si>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</si>
  <si>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</si>
  <si>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</si>
  <si>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</si>
  <si>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</si>
  <si>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</si>
  <si>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</si>
  <si>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</si>
  <si>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</si>
  <si>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</si>
  <si>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</si>
  <si>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</si>
  <si>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</si>
  <si>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</si>
  <si>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</si>
  <si>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</si>
  <si>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</si>
  <si>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</si>
  <si>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</si>
  <si>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</si>
  <si>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</si>
  <si>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</si>
  <si>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</si>
  <si>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</si>
  <si>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</si>
  <si>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</si>
  <si>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</si>
  <si>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</si>
  <si>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</si>
  <si>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</si>
  <si>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</si>
  <si>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</si>
  <si>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</si>
  <si>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</si>
  <si>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</si>
  <si>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</si>
  <si>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</si>
  <si>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</si>
  <si>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</si>
  <si>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</si>
  <si>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</si>
  <si>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</si>
  <si>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</si>
  <si>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</si>
  <si>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</si>
  <si>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</si>
  <si>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</si>
  <si>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</si>
  <si>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</si>
  <si>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</si>
  <si>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</si>
  <si>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</si>
  <si>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</si>
  <si>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</si>
  <si>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</si>
  <si>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</si>
  <si>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</si>
  <si>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</si>
  <si>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</si>
  <si>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</si>
  <si>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</si>
  <si>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</si>
  <si>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</si>
  <si>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</si>
  <si>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</si>
  <si>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</si>
  <si>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</si>
  <si>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</si>
  <si>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</si>
  <si>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</si>
  <si>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</si>
  <si>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</si>
  <si>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</si>
  <si>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</si>
  <si>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</si>
  <si>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</si>
  <si>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</si>
  <si>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</si>
  <si>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</si>
  <si>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</si>
  <si>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</si>
  <si>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</si>
  <si>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</si>
  <si>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</si>
  <si>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</si>
  <si>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</si>
  <si>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</si>
  <si>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</si>
  <si>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</si>
  <si>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</si>
  <si>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</si>
  <si>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</si>
  <si>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</si>
  <si>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</si>
  <si>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</si>
  <si>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</si>
  <si>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</si>
  <si>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</si>
  <si>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</si>
  <si>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</si>
  <si>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</si>
  <si>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</si>
  <si>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</si>
  <si>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</si>
  <si>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</si>
  <si>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</si>
  <si>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</si>
  <si>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</si>
  <si>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</si>
  <si>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</si>
  <si>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</si>
  <si>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</si>
  <si>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</si>
  <si>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</si>
  <si>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</si>
  <si>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</si>
  <si>
    <t>pentecôte</t>
  </si>
  <si>
    <t xml:space="preserve">Fin de la tâche de la ligne 43 </t>
  </si>
  <si>
    <t xml:space="preserve">Création d'une marche à suivre pour le MVC GUI pour que les élèves n'aient pas trop de difficultés </t>
  </si>
  <si>
    <t>Création de la théorie pour l'internationalisation /!\PAS FINI/!\</t>
  </si>
  <si>
    <t>..\INTERNATIONALISATION\Internationalisation.docx</t>
  </si>
  <si>
    <t>Création d'un programme pour illustrer le document de théorie</t>
  </si>
  <si>
    <t>..\INTERNATIONALISATION\exercices\Théorie\theorie\theorie.sln</t>
  </si>
  <si>
    <t>Création de la théorie pour l'internationalisation FINI</t>
  </si>
  <si>
    <t xml:space="preserve">Git - Mise à jour </t>
  </si>
  <si>
    <t xml:space="preserve">Création d'un document comportant 2 exercices </t>
  </si>
  <si>
    <t>..\INTERNATIONALISATION\exercices\Exercices.docx</t>
  </si>
  <si>
    <t>Création d'un programme pour fini pour corriger l'exercice 1</t>
  </si>
  <si>
    <t>..\INTERNATIONALISATION\exercices\exercice 1\Exercice1 - Corriger\Exercice1.sln</t>
  </si>
  <si>
    <t>Recherche d'exercice GUI pour créer l'exercice 2</t>
  </si>
  <si>
    <t>modification du support : exercice 2 supprimé</t>
  </si>
  <si>
    <t>Modification du code : ajout du code pour le bouton submit qui n'était pas fait</t>
  </si>
  <si>
    <t>Création du sujet pour l'évaluation sur l'internationalisation</t>
  </si>
  <si>
    <t>..\INTERNATIONALISATION\evaluation\Evaluation.docx</t>
  </si>
  <si>
    <t>Git - Mise à jour</t>
  </si>
  <si>
    <t>Création de la correction pour l'évaluation</t>
  </si>
  <si>
    <t>..\INTERNATIONALISATION\evaluation\corriger\evaluationInternationalisation\evaluationInternationalisation.sln</t>
  </si>
  <si>
    <t>Création de la correction pour l'évaluation (Fini)</t>
  </si>
  <si>
    <t>Mise en place de commentaire sur le corriger d'évaluation</t>
  </si>
  <si>
    <t xml:space="preserve">Modification du Word </t>
  </si>
  <si>
    <t>Recherche d'information sur les regex pour créer la présentation et le document de théorie</t>
  </si>
  <si>
    <t>..\REGEX\Regex.pptm</t>
  </si>
  <si>
    <t xml:space="preserve">Création de la présentation sur l'internationalisation </t>
  </si>
  <si>
    <t>Création de la présentation sur les Regex(fini)</t>
  </si>
  <si>
    <t>Création de la présentation  sur les Regex</t>
  </si>
  <si>
    <t>..\INTERNATIONALISATION\Internationalisation.pptm</t>
  </si>
  <si>
    <t>Création du document sur les Regex</t>
  </si>
  <si>
    <t>..\REGEX\Regex.docx</t>
  </si>
  <si>
    <t>Création d'un code pour tester les Regex</t>
  </si>
  <si>
    <t>..\REGEX\exercice pour tester les REGEX\WindowsFormsApplication1.sln</t>
  </si>
  <si>
    <t>Théorie sur les regex</t>
  </si>
  <si>
    <t>Reprise du code et modifications</t>
  </si>
  <si>
    <t>Remise à zéro du document de théorie sur les REGEX car mauvaise méthode d'apprentissage</t>
  </si>
  <si>
    <t>Mod</t>
  </si>
  <si>
    <t>dification du document</t>
  </si>
  <si>
    <t>Apéro de 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</si>
</sst>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5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16" borderId="1" xfId="1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left" vertical="top" wrapText="1"/>
      <protection locked="0"/>
    </xf>
    <xf numFmtId="0" fontId="10" fillId="16" borderId="2" xfId="1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left" vertical="top" wrapText="1"/>
      <protection locked="0"/>
    </xf>
    <xf numFmtId="0" fontId="2" fillId="16" borderId="33" xfId="1" applyFill="1" applyBorder="1" applyAlignment="1" applyProtection="1">
      <alignment horizontal="left" vertical="top" wrapText="1"/>
      <protection locked="0"/>
    </xf>
    <xf numFmtId="0" fontId="10" fillId="0" borderId="33" xfId="0" applyFont="1" applyFill="1" applyBorder="1" applyAlignment="1" applyProtection="1">
      <alignment horizontal="center" vertical="top" wrapText="1"/>
      <protection locked="0"/>
    </xf>
    <xf numFmtId="0" fontId="10" fillId="0" borderId="50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9" borderId="24" xfId="0" applyFill="1" applyBorder="1"/>
    <xf numFmtId="0" fontId="2" fillId="0" borderId="50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26" Type="http://schemas.openxmlformats.org/officeDocument/2006/relationships/hyperlink" Target="..\INTERNATIONALISATION\exercices\Exercices.docx" TargetMode="External"/><Relationship Id="rId39" Type="http://schemas.openxmlformats.org/officeDocument/2006/relationships/hyperlink" Target="..\REGEX\Regex.docx" TargetMode="External"/><Relationship Id="rId3" Type="http://schemas.openxmlformats.org/officeDocument/2006/relationships/hyperlink" Target="..\MVC\MVC.docx" TargetMode="External"/><Relationship Id="rId21" Type="http://schemas.openxmlformats.org/officeDocument/2006/relationships/hyperlink" Target="..\INTERNATIONALISATION\exercices\Th&#233;orie\theorie\theorie.sln" TargetMode="External"/><Relationship Id="rId34" Type="http://schemas.openxmlformats.org/officeDocument/2006/relationships/hyperlink" Target="..\REGEX\Regex.pptm" TargetMode="External"/><Relationship Id="rId42" Type="http://schemas.openxmlformats.org/officeDocument/2006/relationships/vmlDrawing" Target="../drawings/vmlDrawing5.vml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5" Type="http://schemas.openxmlformats.org/officeDocument/2006/relationships/hyperlink" Target="..\INTERNATIONALISATION\exercices\exercice%201\Exercice1%20-%20Corriger\Exercice1.sln" TargetMode="External"/><Relationship Id="rId33" Type="http://schemas.openxmlformats.org/officeDocument/2006/relationships/hyperlink" Target="..\REGEX\Regex.pptm" TargetMode="External"/><Relationship Id="rId38" Type="http://schemas.openxmlformats.org/officeDocument/2006/relationships/hyperlink" Target="..\REGEX\Regex.docx" TargetMode="External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hyperlink" Target="..\INTERNATIONALISATION\Internationalisation.docx" TargetMode="External"/><Relationship Id="rId29" Type="http://schemas.openxmlformats.org/officeDocument/2006/relationships/hyperlink" Target="..\INTERNATIONALISATION\evaluation\corriger\evaluationInternationalisation\evaluationInternationalisation.sln" TargetMode="External"/><Relationship Id="rId41" Type="http://schemas.openxmlformats.org/officeDocument/2006/relationships/drawing" Target="../drawings/drawing5.xm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hyperlink" Target="..\INTERNATIONALISATION\exercices\Exercices.docx" TargetMode="External"/><Relationship Id="rId32" Type="http://schemas.openxmlformats.org/officeDocument/2006/relationships/hyperlink" Target="..\INTERNATIONALISATION\evaluation\Evaluation.docx" TargetMode="External"/><Relationship Id="rId37" Type="http://schemas.openxmlformats.org/officeDocument/2006/relationships/hyperlink" Target="..\REGEX\exercice%20pour%20tester%20les%20REGEX\WindowsFormsApplication1.sln" TargetMode="External"/><Relationship Id="rId40" Type="http://schemas.openxmlformats.org/officeDocument/2006/relationships/printerSettings" Target="../printerSettings/printerSettings5.bin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hyperlink" Target="..\INTERNATIONALISATION\Internationalisation.docx" TargetMode="External"/><Relationship Id="rId28" Type="http://schemas.openxmlformats.org/officeDocument/2006/relationships/hyperlink" Target="..\INTERNATIONALISATION\evaluation\Evaluation.docx" TargetMode="External"/><Relationship Id="rId36" Type="http://schemas.openxmlformats.org/officeDocument/2006/relationships/hyperlink" Target="..\REGEX\Regex.docx" TargetMode="External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s.docx" TargetMode="External"/><Relationship Id="rId31" Type="http://schemas.openxmlformats.org/officeDocument/2006/relationships/hyperlink" Target="..\INTERNATIONALISATION\evaluation\corriger\evaluationInternationalisation\evaluationInternationalisation.sln" TargetMode="External"/><Relationship Id="rId44" Type="http://schemas.openxmlformats.org/officeDocument/2006/relationships/image" Target="../media/image7.emf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hyperlink" Target="..\INTERNATIONALISATION\Internationalisation.docx" TargetMode="External"/><Relationship Id="rId27" Type="http://schemas.openxmlformats.org/officeDocument/2006/relationships/hyperlink" Target="..\INTERNATIONALISATION\exercices\exercice%201\Exercice1%20-%20Corriger\Exercice1.sln" TargetMode="External"/><Relationship Id="rId30" Type="http://schemas.openxmlformats.org/officeDocument/2006/relationships/hyperlink" Target="..\INTERNATIONALISATION\evaluation\corriger\evaluationInternationalisation\evaluationInternationalisation.sln" TargetMode="External"/><Relationship Id="rId35" Type="http://schemas.openxmlformats.org/officeDocument/2006/relationships/hyperlink" Target="..\INTERNATIONALISATION\Internationalisation.pptm" TargetMode="External"/><Relationship Id="rId43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46" t="s">
        <v>19</v>
      </c>
      <c r="C19" s="14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48" t="s">
        <v>38</v>
      </c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50"/>
      <c r="CP2" s="148" t="s">
        <v>39</v>
      </c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  <c r="ER2" s="149"/>
      <c r="ES2" s="149"/>
      <c r="ET2" s="149"/>
      <c r="EU2" s="149"/>
      <c r="EV2" s="149"/>
      <c r="EW2" s="149"/>
      <c r="EX2" s="149"/>
      <c r="EY2" s="149"/>
      <c r="EZ2" s="149"/>
      <c r="FA2" s="149"/>
      <c r="FB2" s="149"/>
      <c r="FC2" s="149"/>
      <c r="FD2" s="149"/>
      <c r="FE2" s="149"/>
      <c r="FF2" s="149"/>
      <c r="FG2" s="149"/>
      <c r="FH2" s="149"/>
      <c r="FI2" s="149"/>
      <c r="FJ2" s="149"/>
      <c r="FK2" s="149"/>
      <c r="FL2" s="149"/>
      <c r="FM2" s="149"/>
      <c r="FN2" s="149"/>
      <c r="FO2" s="149"/>
      <c r="FP2" s="149"/>
      <c r="FQ2" s="149"/>
      <c r="FR2" s="149"/>
      <c r="FS2" s="149"/>
      <c r="FT2" s="149"/>
      <c r="FU2" s="149"/>
      <c r="FV2" s="149"/>
      <c r="FW2" s="149"/>
      <c r="FX2" s="149"/>
      <c r="FY2" s="149"/>
      <c r="FZ2" s="149"/>
      <c r="GA2" s="150"/>
      <c r="GB2" s="148" t="s">
        <v>40</v>
      </c>
      <c r="GC2" s="149"/>
      <c r="GD2" s="149"/>
      <c r="GE2" s="149"/>
      <c r="GF2" s="149"/>
      <c r="GG2" s="149"/>
      <c r="GH2" s="149"/>
      <c r="GI2" s="149"/>
      <c r="GJ2" s="149"/>
      <c r="GK2" s="149"/>
      <c r="GL2" s="149"/>
      <c r="GM2" s="149"/>
      <c r="GN2" s="149"/>
      <c r="GO2" s="149"/>
      <c r="GP2" s="149"/>
      <c r="GQ2" s="149"/>
      <c r="GR2" s="149"/>
      <c r="GS2" s="149"/>
      <c r="GT2" s="149"/>
      <c r="GU2" s="149"/>
      <c r="GV2" s="149"/>
      <c r="GW2" s="149"/>
      <c r="GX2" s="149"/>
      <c r="GY2" s="149"/>
      <c r="GZ2" s="149"/>
      <c r="HA2" s="149"/>
      <c r="HB2" s="149"/>
      <c r="HC2" s="149"/>
      <c r="HD2" s="149"/>
      <c r="HE2" s="149"/>
      <c r="HF2" s="149"/>
      <c r="HG2" s="149"/>
      <c r="HH2" s="149"/>
      <c r="HI2" s="149"/>
      <c r="HJ2" s="149"/>
      <c r="HK2" s="149"/>
      <c r="HL2" s="149"/>
      <c r="HM2" s="149"/>
      <c r="HN2" s="149"/>
      <c r="HO2" s="149"/>
      <c r="HP2" s="149"/>
      <c r="HQ2" s="149"/>
      <c r="HR2" s="149"/>
      <c r="HS2" s="149"/>
      <c r="HT2" s="149"/>
      <c r="HU2" s="149"/>
      <c r="HV2" s="149"/>
      <c r="HW2" s="149"/>
      <c r="HX2" s="149"/>
      <c r="HY2" s="149"/>
      <c r="HZ2" s="149"/>
      <c r="IA2" s="149"/>
      <c r="IB2" s="149"/>
      <c r="IC2" s="149"/>
      <c r="ID2" s="149"/>
      <c r="IE2" s="149"/>
      <c r="IF2" s="149"/>
      <c r="IG2" s="149"/>
      <c r="IH2" s="149"/>
      <c r="II2" s="149"/>
      <c r="IJ2" s="149"/>
      <c r="IK2" s="149"/>
      <c r="IL2" s="149"/>
      <c r="IM2" s="149"/>
      <c r="IN2" s="149"/>
      <c r="IO2" s="149"/>
      <c r="IP2" s="149"/>
      <c r="IQ2" s="149"/>
      <c r="IR2" s="149"/>
      <c r="IS2" s="149"/>
      <c r="IT2" s="149"/>
      <c r="IU2" s="149"/>
      <c r="IV2" s="149"/>
      <c r="IW2" s="149"/>
      <c r="IX2" s="149"/>
      <c r="IY2" s="149"/>
      <c r="IZ2" s="149"/>
      <c r="JA2" s="149"/>
      <c r="JB2" s="149"/>
      <c r="JC2" s="149"/>
      <c r="JD2" s="149"/>
      <c r="JE2" s="149"/>
      <c r="JF2" s="149"/>
      <c r="JG2" s="149"/>
      <c r="JH2" s="149"/>
      <c r="JI2" s="149"/>
      <c r="JJ2" s="149"/>
      <c r="JK2" s="149"/>
      <c r="JL2" s="149"/>
      <c r="JM2" s="150"/>
      <c r="JN2" s="148" t="s">
        <v>41</v>
      </c>
      <c r="JO2" s="149"/>
      <c r="JP2" s="149"/>
      <c r="JQ2" s="149"/>
      <c r="JR2" s="149"/>
      <c r="JS2" s="149"/>
      <c r="JT2" s="149"/>
      <c r="JU2" s="149"/>
      <c r="JV2" s="149"/>
      <c r="JW2" s="149"/>
      <c r="JX2" s="149"/>
      <c r="JY2" s="149"/>
      <c r="JZ2" s="149"/>
      <c r="KA2" s="149"/>
      <c r="KB2" s="149"/>
      <c r="KC2" s="149"/>
      <c r="KD2" s="149"/>
      <c r="KE2" s="149"/>
      <c r="KF2" s="149"/>
      <c r="KG2" s="149"/>
      <c r="KH2" s="149"/>
      <c r="KI2" s="149"/>
      <c r="KJ2" s="149"/>
      <c r="KK2" s="149"/>
      <c r="KL2" s="149"/>
      <c r="KM2" s="149"/>
      <c r="KN2" s="149"/>
      <c r="KO2" s="149"/>
      <c r="KP2" s="149"/>
      <c r="KQ2" s="149"/>
      <c r="KR2" s="149"/>
      <c r="KS2" s="149"/>
      <c r="KT2" s="149"/>
      <c r="KU2" s="149"/>
      <c r="KV2" s="149"/>
      <c r="KW2" s="149"/>
      <c r="KX2" s="149"/>
      <c r="KY2" s="149"/>
      <c r="KZ2" s="149"/>
      <c r="LA2" s="149"/>
      <c r="LB2" s="149"/>
      <c r="LC2" s="149"/>
      <c r="LD2" s="149"/>
      <c r="LE2" s="149"/>
      <c r="LF2" s="149"/>
      <c r="LG2" s="149"/>
      <c r="LH2" s="149"/>
      <c r="LI2" s="149"/>
      <c r="LJ2" s="149"/>
      <c r="LK2" s="149"/>
      <c r="LL2" s="149"/>
      <c r="LM2" s="149"/>
      <c r="LN2" s="149"/>
      <c r="LO2" s="149"/>
      <c r="LP2" s="149"/>
      <c r="LQ2" s="149"/>
      <c r="LR2" s="149"/>
      <c r="LS2" s="149"/>
      <c r="LT2" s="149"/>
      <c r="LU2" s="149"/>
      <c r="LV2" s="149"/>
      <c r="LW2" s="149"/>
      <c r="LX2" s="149"/>
      <c r="LY2" s="149"/>
      <c r="LZ2" s="149"/>
      <c r="MA2" s="149"/>
      <c r="MB2" s="149"/>
      <c r="MC2" s="149"/>
      <c r="MD2" s="149"/>
      <c r="ME2" s="149"/>
      <c r="MF2" s="149"/>
      <c r="MG2" s="149"/>
      <c r="MH2" s="149"/>
      <c r="MI2" s="149"/>
      <c r="MJ2" s="149"/>
      <c r="MK2" s="149"/>
      <c r="ML2" s="149"/>
      <c r="MM2" s="149"/>
      <c r="MN2" s="149"/>
      <c r="MO2" s="149"/>
      <c r="MP2" s="149"/>
      <c r="MQ2" s="149"/>
      <c r="MR2" s="149"/>
      <c r="MS2" s="149"/>
      <c r="MT2" s="149"/>
      <c r="MU2" s="149"/>
      <c r="MV2" s="149"/>
      <c r="MW2" s="149"/>
      <c r="MX2" s="149"/>
      <c r="MY2" s="150"/>
    </row>
    <row r="3" spans="1:363" ht="19.5" customHeight="1" x14ac:dyDescent="0.2">
      <c r="A3" s="88"/>
      <c r="B3" s="153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54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55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52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51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52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51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52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51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52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51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52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51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52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51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52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51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52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51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52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51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52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51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52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51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52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B27:B28"/>
    <mergeCell ref="D2:CO2"/>
    <mergeCell ref="CP2:GA2"/>
    <mergeCell ref="GB2:JM2"/>
    <mergeCell ref="B23:B24"/>
    <mergeCell ref="B25:B26"/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53" t="s">
        <v>21</v>
      </c>
      <c r="C3" s="30">
        <v>0</v>
      </c>
    </row>
    <row r="4" spans="1:4" ht="19.5" customHeight="1" x14ac:dyDescent="0.2">
      <c r="A4" s="34"/>
      <c r="B4" s="15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55" zoomScale="130" zoomScaleNormal="100" zoomScaleSheetLayoutView="130" workbookViewId="0">
      <selection activeCell="C25" sqref="C2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9"/>
  <sheetViews>
    <sheetView tabSelected="1" view="pageBreakPreview" topLeftCell="A79" zoomScale="115" zoomScaleNormal="100" zoomScaleSheetLayoutView="115" workbookViewId="0">
      <selection activeCell="D95" sqref="D9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33"/>
      <c r="B3" s="134"/>
      <c r="C3" s="135" t="s">
        <v>65</v>
      </c>
      <c r="D3" s="135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136"/>
      <c r="B9" s="140"/>
      <c r="C9" s="139" t="s">
        <v>66</v>
      </c>
      <c r="D9" s="139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140"/>
      <c r="B14" s="140"/>
      <c r="C14" s="139" t="s">
        <v>67</v>
      </c>
      <c r="D14" s="139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141"/>
      <c r="B25" s="141"/>
      <c r="C25" s="142" t="s">
        <v>68</v>
      </c>
      <c r="D25" s="143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133"/>
      <c r="B38" s="134"/>
      <c r="C38" s="135" t="s">
        <v>65</v>
      </c>
      <c r="D38" s="135"/>
    </row>
    <row r="39" spans="1:9" ht="13.5" x14ac:dyDescent="0.2">
      <c r="A39" s="118" t="s">
        <v>21</v>
      </c>
      <c r="B39" s="131">
        <v>24</v>
      </c>
      <c r="C39" s="132" t="s">
        <v>130</v>
      </c>
      <c r="D39" s="120"/>
    </row>
    <row r="40" spans="1:9" ht="13.5" x14ac:dyDescent="0.2">
      <c r="A40" s="136"/>
      <c r="B40" s="137"/>
      <c r="C40" s="138" t="s">
        <v>66</v>
      </c>
      <c r="D40" s="139"/>
    </row>
    <row r="41" spans="1:9" ht="27" x14ac:dyDescent="0.2">
      <c r="A41" s="5" t="s">
        <v>100</v>
      </c>
      <c r="B41" s="119">
        <v>1</v>
      </c>
      <c r="C41" s="120" t="s">
        <v>124</v>
      </c>
      <c r="D41" s="14"/>
      <c r="E41" s="37"/>
      <c r="F41" s="37"/>
      <c r="G41" s="37"/>
      <c r="H41" s="37"/>
      <c r="I41" s="37"/>
    </row>
    <row r="42" spans="1:9" ht="12.75" customHeight="1" x14ac:dyDescent="0.2">
      <c r="A42" s="5" t="s">
        <v>100</v>
      </c>
      <c r="B42" s="6">
        <v>5</v>
      </c>
      <c r="C42" s="14" t="s">
        <v>125</v>
      </c>
      <c r="D42" s="14" t="s">
        <v>129</v>
      </c>
      <c r="E42" s="37"/>
      <c r="F42" s="54"/>
      <c r="G42" s="55"/>
      <c r="H42" s="56"/>
      <c r="I42" s="37"/>
    </row>
    <row r="43" spans="1:9" ht="25.5" x14ac:dyDescent="0.2">
      <c r="A43" s="5" t="s">
        <v>100</v>
      </c>
      <c r="B43" s="6">
        <v>5</v>
      </c>
      <c r="C43" s="14" t="s">
        <v>126</v>
      </c>
      <c r="D43" s="108" t="s">
        <v>128</v>
      </c>
      <c r="E43" s="37"/>
      <c r="F43" s="57"/>
      <c r="G43" s="53"/>
      <c r="H43" s="53"/>
      <c r="I43" s="37"/>
    </row>
    <row r="44" spans="1:9" ht="13.5" x14ac:dyDescent="0.2">
      <c r="A44" s="5" t="s">
        <v>28</v>
      </c>
      <c r="B44" s="6">
        <v>1</v>
      </c>
      <c r="C44" s="14" t="s">
        <v>127</v>
      </c>
      <c r="D44" s="14"/>
      <c r="E44" s="37"/>
      <c r="F44" s="59"/>
      <c r="G44" s="60"/>
      <c r="H44" s="60"/>
      <c r="I44" s="37"/>
    </row>
    <row r="45" spans="1:9" ht="13.5" x14ac:dyDescent="0.2">
      <c r="A45" s="136"/>
      <c r="B45" s="140"/>
      <c r="C45" s="139" t="s">
        <v>67</v>
      </c>
      <c r="D45" s="139"/>
      <c r="E45" s="37"/>
      <c r="F45" s="59"/>
      <c r="G45" s="60"/>
      <c r="H45" s="60"/>
      <c r="I45" s="37"/>
    </row>
    <row r="46" spans="1:9" ht="25.5" x14ac:dyDescent="0.2">
      <c r="A46" s="5" t="s">
        <v>100</v>
      </c>
      <c r="B46" s="6">
        <v>6</v>
      </c>
      <c r="C46" s="14" t="s">
        <v>131</v>
      </c>
      <c r="D46" s="108" t="s">
        <v>128</v>
      </c>
      <c r="E46" s="37"/>
      <c r="F46" s="59"/>
      <c r="G46" s="60"/>
      <c r="H46" s="60"/>
      <c r="I46" s="37"/>
    </row>
    <row r="47" spans="1:9" ht="27" x14ac:dyDescent="0.2">
      <c r="A47" s="5" t="s">
        <v>31</v>
      </c>
      <c r="B47" s="6">
        <v>8</v>
      </c>
      <c r="C47" s="14" t="s">
        <v>132</v>
      </c>
      <c r="D47" s="108" t="s">
        <v>119</v>
      </c>
      <c r="E47" s="37"/>
      <c r="F47" s="59"/>
      <c r="G47" s="60"/>
      <c r="H47" s="60"/>
      <c r="I47" s="37"/>
    </row>
    <row r="48" spans="1:9" ht="13.5" x14ac:dyDescent="0.2">
      <c r="A48" s="5" t="s">
        <v>28</v>
      </c>
      <c r="B48" s="6">
        <v>1</v>
      </c>
      <c r="C48" s="14" t="s">
        <v>127</v>
      </c>
      <c r="D48" s="14"/>
      <c r="E48" s="37"/>
      <c r="F48" s="59"/>
      <c r="G48" s="60"/>
      <c r="H48" s="60"/>
      <c r="I48" s="37"/>
    </row>
    <row r="49" spans="1:9" ht="25.5" x14ac:dyDescent="0.2">
      <c r="A49" s="6" t="s">
        <v>29</v>
      </c>
      <c r="B49" s="6">
        <v>11</v>
      </c>
      <c r="C49" s="14" t="s">
        <v>133</v>
      </c>
      <c r="D49" s="108" t="s">
        <v>134</v>
      </c>
      <c r="E49" s="37"/>
      <c r="F49" s="59"/>
      <c r="G49" s="60"/>
      <c r="H49" s="60"/>
      <c r="I49" s="37"/>
    </row>
    <row r="50" spans="1:9" ht="13.5" x14ac:dyDescent="0.2">
      <c r="A50" s="6" t="s">
        <v>28</v>
      </c>
      <c r="B50" s="6">
        <v>1</v>
      </c>
      <c r="C50" s="14" t="s">
        <v>127</v>
      </c>
      <c r="E50" s="37"/>
      <c r="F50" s="59"/>
      <c r="G50" s="60"/>
      <c r="H50" s="60"/>
      <c r="I50" s="37"/>
    </row>
    <row r="51" spans="1:9" ht="13.5" x14ac:dyDescent="0.2">
      <c r="A51" s="140"/>
      <c r="B51" s="140"/>
      <c r="C51" s="139" t="s">
        <v>68</v>
      </c>
      <c r="D51" s="139"/>
      <c r="E51" s="37"/>
      <c r="F51" s="59"/>
      <c r="G51" s="60"/>
      <c r="H51" s="60"/>
      <c r="I51" s="37"/>
    </row>
    <row r="52" spans="1:9" ht="25.5" x14ac:dyDescent="0.2">
      <c r="A52" s="79" t="s">
        <v>100</v>
      </c>
      <c r="B52" s="79">
        <v>7</v>
      </c>
      <c r="C52" s="80" t="s">
        <v>135</v>
      </c>
      <c r="D52" s="130" t="s">
        <v>136</v>
      </c>
      <c r="E52" s="37"/>
      <c r="F52" s="59"/>
      <c r="G52" s="60"/>
      <c r="H52" s="60"/>
      <c r="I52" s="37"/>
    </row>
    <row r="53" spans="1:9" ht="25.5" x14ac:dyDescent="0.2">
      <c r="A53" s="79" t="s">
        <v>29</v>
      </c>
      <c r="B53" s="79">
        <v>2</v>
      </c>
      <c r="C53" s="14" t="s">
        <v>133</v>
      </c>
      <c r="D53" s="130" t="s">
        <v>134</v>
      </c>
      <c r="E53" s="37"/>
      <c r="F53" s="59"/>
      <c r="G53" s="60"/>
      <c r="H53" s="60"/>
      <c r="I53" s="37"/>
    </row>
    <row r="54" spans="1:9" ht="13.5" x14ac:dyDescent="0.2">
      <c r="A54" s="79" t="s">
        <v>28</v>
      </c>
      <c r="B54" s="79">
        <v>1</v>
      </c>
      <c r="C54" s="80" t="s">
        <v>127</v>
      </c>
      <c r="D54" s="130"/>
      <c r="E54" s="37"/>
      <c r="F54" s="59"/>
      <c r="G54" s="60"/>
      <c r="H54" s="60"/>
      <c r="I54" s="37"/>
    </row>
    <row r="55" spans="1:9" ht="25.5" x14ac:dyDescent="0.2">
      <c r="A55" s="79" t="s">
        <v>29</v>
      </c>
      <c r="B55" s="79">
        <v>4</v>
      </c>
      <c r="C55" s="14" t="s">
        <v>137</v>
      </c>
      <c r="D55" s="130" t="s">
        <v>134</v>
      </c>
      <c r="E55" s="37"/>
      <c r="F55" s="59"/>
      <c r="G55" s="60"/>
      <c r="H55" s="60"/>
      <c r="I55" s="37"/>
    </row>
    <row r="56" spans="1:9" ht="13.5" x14ac:dyDescent="0.2">
      <c r="A56" s="79" t="s">
        <v>28</v>
      </c>
      <c r="B56" s="79">
        <v>0.5</v>
      </c>
      <c r="C56" s="80" t="s">
        <v>64</v>
      </c>
      <c r="D56" s="130"/>
      <c r="E56" s="37"/>
      <c r="F56" s="59"/>
      <c r="G56" s="60"/>
      <c r="H56" s="60"/>
      <c r="I56" s="37"/>
    </row>
    <row r="57" spans="1:9" ht="13.5" x14ac:dyDescent="0.2">
      <c r="A57" s="79" t="s">
        <v>42</v>
      </c>
      <c r="B57" s="79">
        <v>0.5</v>
      </c>
      <c r="C57" s="80" t="s">
        <v>138</v>
      </c>
      <c r="D57" s="130"/>
      <c r="E57" s="37"/>
      <c r="F57" s="59"/>
      <c r="G57" s="60"/>
      <c r="H57" s="60"/>
      <c r="I57" s="37"/>
    </row>
    <row r="58" spans="1:9" ht="25.5" x14ac:dyDescent="0.2">
      <c r="A58" s="79" t="s">
        <v>31</v>
      </c>
      <c r="B58" s="79">
        <v>2</v>
      </c>
      <c r="C58" s="80" t="s">
        <v>139</v>
      </c>
      <c r="D58" s="130" t="s">
        <v>140</v>
      </c>
      <c r="E58" s="37"/>
      <c r="F58" s="59"/>
      <c r="G58" s="60"/>
      <c r="H58" s="60"/>
      <c r="I58" s="37"/>
    </row>
    <row r="59" spans="1:9" ht="25.5" x14ac:dyDescent="0.2">
      <c r="A59" s="79" t="s">
        <v>33</v>
      </c>
      <c r="B59" s="79">
        <v>5</v>
      </c>
      <c r="C59" s="80" t="s">
        <v>141</v>
      </c>
      <c r="D59" s="130" t="s">
        <v>142</v>
      </c>
      <c r="E59" s="37"/>
      <c r="F59" s="59"/>
      <c r="G59" s="60"/>
      <c r="H59" s="60"/>
      <c r="I59" s="37"/>
    </row>
    <row r="60" spans="1:9" ht="13.5" x14ac:dyDescent="0.2">
      <c r="A60" s="79" t="s">
        <v>28</v>
      </c>
      <c r="B60" s="79">
        <v>1</v>
      </c>
      <c r="C60" s="80" t="s">
        <v>127</v>
      </c>
      <c r="D60" s="130"/>
      <c r="E60" s="37"/>
      <c r="F60" s="59"/>
      <c r="G60" s="60"/>
      <c r="H60" s="60"/>
      <c r="I60" s="37"/>
    </row>
    <row r="61" spans="1:9" ht="13.5" x14ac:dyDescent="0.2">
      <c r="A61" s="79" t="s">
        <v>31</v>
      </c>
      <c r="B61" s="79">
        <v>3</v>
      </c>
      <c r="C61" s="145" t="s">
        <v>143</v>
      </c>
      <c r="D61" s="80"/>
      <c r="E61" s="37"/>
      <c r="F61" s="61"/>
      <c r="G61" s="62"/>
      <c r="H61" s="62"/>
      <c r="I61" s="37"/>
    </row>
    <row r="62" spans="1:9" ht="13.5" x14ac:dyDescent="0.25">
      <c r="A62" s="79" t="s">
        <v>28</v>
      </c>
      <c r="B62" s="144">
        <v>0.5</v>
      </c>
      <c r="C62" s="115" t="s">
        <v>127</v>
      </c>
      <c r="D62" s="80"/>
      <c r="E62" s="37"/>
      <c r="F62" s="61"/>
      <c r="G62" s="62"/>
      <c r="H62" s="62"/>
      <c r="I62" s="37"/>
    </row>
    <row r="63" spans="1:9" ht="15" thickBot="1" x14ac:dyDescent="0.35">
      <c r="A63" s="7" t="s">
        <v>42</v>
      </c>
      <c r="B63" s="7">
        <v>0.5</v>
      </c>
      <c r="C63" s="15" t="s">
        <v>138</v>
      </c>
      <c r="D63" s="15"/>
      <c r="E63" s="37"/>
      <c r="F63" s="63"/>
      <c r="G63" s="63"/>
      <c r="H63" s="63"/>
      <c r="I63" s="37"/>
    </row>
    <row r="64" spans="1:9" ht="14.25" thickBot="1" x14ac:dyDescent="0.25">
      <c r="A64" s="76" t="s">
        <v>22</v>
      </c>
      <c r="B64" s="76">
        <f>SUM(B38:B63)</f>
        <v>90</v>
      </c>
      <c r="C64" s="85" t="s">
        <v>36</v>
      </c>
      <c r="D64" s="77"/>
      <c r="E64" s="37"/>
      <c r="F64" s="37"/>
      <c r="G64" s="37"/>
      <c r="H64" s="37"/>
      <c r="I64" s="37"/>
    </row>
    <row r="65" spans="1:9" ht="15" thickBot="1" x14ac:dyDescent="0.35">
      <c r="A65" s="78"/>
      <c r="B65" s="78"/>
      <c r="C65" s="78"/>
      <c r="D65" s="78"/>
      <c r="E65" s="37"/>
      <c r="F65" s="37"/>
      <c r="G65" s="37"/>
      <c r="H65" s="37"/>
      <c r="I65" s="37"/>
    </row>
    <row r="66" spans="1:9" ht="18.75" thickBot="1" x14ac:dyDescent="0.25">
      <c r="A66" s="71" t="s">
        <v>14</v>
      </c>
      <c r="B66" s="72">
        <v>3</v>
      </c>
      <c r="C66" s="73" t="s">
        <v>23</v>
      </c>
      <c r="D66" s="82">
        <v>42898</v>
      </c>
      <c r="E66" s="37"/>
      <c r="F66" s="37"/>
      <c r="G66" s="37"/>
      <c r="H66" s="37"/>
      <c r="I66" s="37"/>
    </row>
    <row r="67" spans="1:9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9" ht="13.5" x14ac:dyDescent="0.2">
      <c r="A68" s="133"/>
      <c r="B68" s="134"/>
      <c r="C68" s="135" t="s">
        <v>65</v>
      </c>
      <c r="D68" s="135"/>
    </row>
    <row r="69" spans="1:9" ht="25.5" x14ac:dyDescent="0.2">
      <c r="A69" s="5" t="s">
        <v>31</v>
      </c>
      <c r="B69" s="6">
        <v>1</v>
      </c>
      <c r="C69" s="14" t="s">
        <v>144</v>
      </c>
      <c r="D69" s="108" t="s">
        <v>140</v>
      </c>
    </row>
    <row r="70" spans="1:9" ht="25.5" x14ac:dyDescent="0.2">
      <c r="A70" s="5" t="s">
        <v>100</v>
      </c>
      <c r="B70" s="6">
        <v>5</v>
      </c>
      <c r="C70" s="14" t="s">
        <v>145</v>
      </c>
      <c r="D70" s="108" t="s">
        <v>142</v>
      </c>
    </row>
    <row r="71" spans="1:9" ht="25.5" x14ac:dyDescent="0.2">
      <c r="A71" s="5" t="s">
        <v>32</v>
      </c>
      <c r="B71" s="6">
        <v>3</v>
      </c>
      <c r="C71" s="14" t="s">
        <v>146</v>
      </c>
      <c r="D71" s="108" t="s">
        <v>147</v>
      </c>
    </row>
    <row r="72" spans="1:9" ht="38.25" x14ac:dyDescent="0.2">
      <c r="A72" s="5" t="s">
        <v>100</v>
      </c>
      <c r="B72" s="6">
        <v>9</v>
      </c>
      <c r="C72" s="14" t="s">
        <v>149</v>
      </c>
      <c r="D72" s="108" t="s">
        <v>150</v>
      </c>
    </row>
    <row r="73" spans="1:9" ht="13.5" x14ac:dyDescent="0.2">
      <c r="A73" s="5" t="s">
        <v>21</v>
      </c>
      <c r="B73" s="6">
        <v>3</v>
      </c>
      <c r="C73" s="14" t="s">
        <v>51</v>
      </c>
      <c r="D73" s="14"/>
    </row>
    <row r="74" spans="1:9" ht="38.25" x14ac:dyDescent="0.2">
      <c r="A74" s="5" t="s">
        <v>100</v>
      </c>
      <c r="B74" s="6">
        <v>2</v>
      </c>
      <c r="C74" s="14" t="s">
        <v>152</v>
      </c>
      <c r="D74" s="108" t="s">
        <v>150</v>
      </c>
    </row>
    <row r="75" spans="1:9" ht="13.5" x14ac:dyDescent="0.2">
      <c r="A75" s="5" t="s">
        <v>28</v>
      </c>
      <c r="B75" s="6">
        <v>0.5</v>
      </c>
      <c r="C75" s="14" t="s">
        <v>127</v>
      </c>
      <c r="D75" s="14"/>
    </row>
    <row r="76" spans="1:9" ht="13.5" x14ac:dyDescent="0.2">
      <c r="A76" s="5" t="s">
        <v>42</v>
      </c>
      <c r="B76" s="6">
        <v>0.5</v>
      </c>
      <c r="C76" s="14" t="s">
        <v>148</v>
      </c>
      <c r="D76" s="14"/>
    </row>
    <row r="77" spans="1:9" ht="13.5" x14ac:dyDescent="0.2">
      <c r="A77" s="136"/>
      <c r="B77" s="137"/>
      <c r="C77" s="138" t="s">
        <v>66</v>
      </c>
      <c r="D77" s="139"/>
    </row>
    <row r="78" spans="1:9" ht="38.25" x14ac:dyDescent="0.2">
      <c r="A78" s="6" t="s">
        <v>100</v>
      </c>
      <c r="B78" s="6">
        <v>2</v>
      </c>
      <c r="C78" s="14" t="s">
        <v>151</v>
      </c>
      <c r="D78" s="108" t="s">
        <v>150</v>
      </c>
    </row>
    <row r="79" spans="1:9" ht="25.5" x14ac:dyDescent="0.2">
      <c r="A79" s="6" t="s">
        <v>32</v>
      </c>
      <c r="B79" s="6">
        <v>1</v>
      </c>
      <c r="C79" s="14" t="s">
        <v>153</v>
      </c>
      <c r="D79" s="108" t="s">
        <v>147</v>
      </c>
    </row>
    <row r="80" spans="1:9" ht="27" x14ac:dyDescent="0.2">
      <c r="A80" s="79" t="s">
        <v>34</v>
      </c>
      <c r="B80" s="79">
        <v>5</v>
      </c>
      <c r="C80" s="80" t="s">
        <v>154</v>
      </c>
      <c r="D80" s="80"/>
    </row>
    <row r="81" spans="1:4" ht="13.5" x14ac:dyDescent="0.2">
      <c r="A81" s="79" t="s">
        <v>30</v>
      </c>
      <c r="B81" s="79">
        <v>2</v>
      </c>
      <c r="C81" s="80" t="s">
        <v>158</v>
      </c>
      <c r="D81" s="130" t="s">
        <v>155</v>
      </c>
    </row>
    <row r="82" spans="1:4" ht="13.5" x14ac:dyDescent="0.2">
      <c r="A82" s="79" t="s">
        <v>28</v>
      </c>
      <c r="B82" s="79">
        <v>0.5</v>
      </c>
      <c r="C82" s="80" t="s">
        <v>127</v>
      </c>
      <c r="D82" s="80"/>
    </row>
    <row r="83" spans="1:4" ht="13.5" x14ac:dyDescent="0.2">
      <c r="A83" s="79" t="s">
        <v>42</v>
      </c>
      <c r="B83" s="79">
        <v>0.5</v>
      </c>
      <c r="C83" s="80" t="s">
        <v>148</v>
      </c>
      <c r="D83" s="80"/>
    </row>
    <row r="84" spans="1:4" ht="13.5" x14ac:dyDescent="0.2">
      <c r="A84" s="136"/>
      <c r="B84" s="140"/>
      <c r="C84" s="139" t="s">
        <v>67</v>
      </c>
      <c r="D84" s="139"/>
    </row>
    <row r="85" spans="1:4" ht="13.5" x14ac:dyDescent="0.2">
      <c r="A85" s="79" t="s">
        <v>30</v>
      </c>
      <c r="B85" s="79">
        <v>1</v>
      </c>
      <c r="C85" s="80" t="s">
        <v>157</v>
      </c>
      <c r="D85" s="130" t="s">
        <v>155</v>
      </c>
    </row>
    <row r="86" spans="1:4" ht="25.5" x14ac:dyDescent="0.2">
      <c r="A86" s="79" t="s">
        <v>30</v>
      </c>
      <c r="B86" s="79">
        <v>3</v>
      </c>
      <c r="C86" s="80" t="s">
        <v>156</v>
      </c>
      <c r="D86" s="130" t="s">
        <v>159</v>
      </c>
    </row>
    <row r="87" spans="1:4" ht="13.5" x14ac:dyDescent="0.2">
      <c r="A87" s="79" t="s">
        <v>29</v>
      </c>
      <c r="B87" s="79">
        <v>12</v>
      </c>
      <c r="C87" s="80" t="s">
        <v>160</v>
      </c>
      <c r="D87" s="130" t="s">
        <v>161</v>
      </c>
    </row>
    <row r="88" spans="1:4" ht="25.5" x14ac:dyDescent="0.2">
      <c r="A88" s="79" t="s">
        <v>100</v>
      </c>
      <c r="B88" s="79">
        <v>5</v>
      </c>
      <c r="C88" s="80" t="s">
        <v>162</v>
      </c>
      <c r="D88" s="130" t="s">
        <v>163</v>
      </c>
    </row>
    <row r="89" spans="1:4" ht="13.5" x14ac:dyDescent="0.2">
      <c r="A89" s="79" t="s">
        <v>29</v>
      </c>
      <c r="B89" s="79">
        <v>6</v>
      </c>
      <c r="C89" s="80" t="s">
        <v>164</v>
      </c>
      <c r="D89" s="158" t="s">
        <v>161</v>
      </c>
    </row>
    <row r="90" spans="1:4" ht="13.5" x14ac:dyDescent="0.2">
      <c r="A90" s="79" t="s">
        <v>28</v>
      </c>
      <c r="B90" s="79">
        <v>1</v>
      </c>
      <c r="C90" s="80" t="s">
        <v>127</v>
      </c>
      <c r="D90" s="157"/>
    </row>
    <row r="91" spans="1:4" ht="13.5" x14ac:dyDescent="0.2">
      <c r="A91" s="140"/>
      <c r="B91" s="140"/>
      <c r="C91" s="139" t="s">
        <v>68</v>
      </c>
      <c r="D91" s="139"/>
    </row>
    <row r="92" spans="1:4" ht="27" x14ac:dyDescent="0.2">
      <c r="A92" s="79" t="s">
        <v>29</v>
      </c>
      <c r="B92" s="79">
        <v>6</v>
      </c>
      <c r="C92" s="80" t="s">
        <v>166</v>
      </c>
      <c r="D92" s="80"/>
    </row>
    <row r="93" spans="1:4" ht="13.5" x14ac:dyDescent="0.2">
      <c r="A93" s="79" t="s">
        <v>100</v>
      </c>
      <c r="B93" s="79">
        <v>8</v>
      </c>
      <c r="C93" s="80" t="s">
        <v>165</v>
      </c>
      <c r="D93" s="145"/>
    </row>
    <row r="94" spans="1:4" ht="13.5" x14ac:dyDescent="0.2">
      <c r="A94" s="79" t="s">
        <v>28</v>
      </c>
      <c r="B94" s="79">
        <v>1</v>
      </c>
      <c r="C94" s="80" t="s">
        <v>127</v>
      </c>
      <c r="D94" s="132"/>
    </row>
    <row r="95" spans="1:4" ht="13.5" x14ac:dyDescent="0.2">
      <c r="A95" s="79" t="s">
        <v>29</v>
      </c>
      <c r="B95" s="79">
        <v>6</v>
      </c>
      <c r="C95" s="80" t="s">
        <v>167</v>
      </c>
      <c r="D95" s="130" t="s">
        <v>161</v>
      </c>
    </row>
    <row r="96" spans="1:4" ht="13.5" x14ac:dyDescent="0.2">
      <c r="A96" s="79" t="s">
        <v>28</v>
      </c>
      <c r="B96" s="79">
        <v>1</v>
      </c>
      <c r="C96" s="80" t="s">
        <v>168</v>
      </c>
      <c r="D96" s="80"/>
    </row>
    <row r="97" spans="1:4" ht="14.25" thickBot="1" x14ac:dyDescent="0.25">
      <c r="A97" s="7" t="s">
        <v>21</v>
      </c>
      <c r="B97" s="7">
        <v>5</v>
      </c>
      <c r="C97" s="15" t="s">
        <v>169</v>
      </c>
      <c r="D97" s="15"/>
    </row>
    <row r="98" spans="1:4" ht="14.25" thickBot="1" x14ac:dyDescent="0.25">
      <c r="A98" s="76" t="s">
        <v>22</v>
      </c>
      <c r="B98" s="76">
        <f>SUM(B68:B97)</f>
        <v>90</v>
      </c>
      <c r="C98" s="85" t="s">
        <v>36</v>
      </c>
      <c r="D98" s="77"/>
    </row>
    <row r="99" spans="1:4" ht="15" thickBot="1" x14ac:dyDescent="0.35">
      <c r="A99" s="78"/>
      <c r="B99" s="78"/>
      <c r="C99" s="78"/>
      <c r="D99" s="78"/>
    </row>
    <row r="100" spans="1:4" ht="18.75" thickBot="1" x14ac:dyDescent="0.25">
      <c r="A100" s="71" t="s">
        <v>14</v>
      </c>
      <c r="B100" s="72">
        <v>4</v>
      </c>
      <c r="C100" s="73" t="s">
        <v>23</v>
      </c>
      <c r="D100" s="82">
        <v>42905</v>
      </c>
    </row>
    <row r="101" spans="1:4" ht="27.75" thickBot="1" x14ac:dyDescent="0.25">
      <c r="A101" s="74" t="s">
        <v>3</v>
      </c>
      <c r="B101" s="75" t="s">
        <v>15</v>
      </c>
      <c r="C101" s="74" t="s">
        <v>7</v>
      </c>
      <c r="D101" s="74" t="s">
        <v>13</v>
      </c>
    </row>
    <row r="102" spans="1:4" ht="13.5" x14ac:dyDescent="0.2">
      <c r="A102" s="9"/>
      <c r="B102" s="8"/>
      <c r="C102" s="13"/>
      <c r="D102" s="13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6"/>
      <c r="B113" s="6"/>
      <c r="C113" s="14"/>
      <c r="D113" s="14"/>
    </row>
    <row r="114" spans="1:4" ht="13.5" x14ac:dyDescent="0.2">
      <c r="A114" s="79"/>
      <c r="B114" s="79"/>
      <c r="C114" s="80"/>
      <c r="D114" s="80"/>
    </row>
    <row r="115" spans="1:4" ht="13.5" x14ac:dyDescent="0.2">
      <c r="A115" s="79"/>
      <c r="B115" s="79"/>
      <c r="C115" s="80"/>
      <c r="D115" s="80"/>
    </row>
    <row r="116" spans="1:4" ht="14.25" thickBot="1" x14ac:dyDescent="0.25">
      <c r="A116" s="7"/>
      <c r="B116" s="7"/>
      <c r="C116" s="15"/>
      <c r="D116" s="15"/>
    </row>
    <row r="117" spans="1:4" ht="14.25" thickBot="1" x14ac:dyDescent="0.25">
      <c r="A117" s="76" t="s">
        <v>22</v>
      </c>
      <c r="B117" s="76">
        <f>SUM(B102:B116)</f>
        <v>0</v>
      </c>
      <c r="C117" s="85" t="s">
        <v>36</v>
      </c>
      <c r="D117" s="77"/>
    </row>
    <row r="118" spans="1:4" ht="14.25" x14ac:dyDescent="0.3">
      <c r="A118" s="78"/>
      <c r="B118" s="78"/>
      <c r="C118" s="78"/>
      <c r="D118" s="78"/>
    </row>
    <row r="119" spans="1:4" x14ac:dyDescent="0.2">
      <c r="A119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1:F62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60 B102:B116 B3:B33 B63 B38:B61 B68:B9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64 B98 B117">
      <formula1>0</formula1>
      <formula2>NbPerWeek * NbQuartPer</formula2>
    </dataValidation>
    <dataValidation type="list" allowBlank="1" showInputMessage="1" showErrorMessage="1" sqref="A102:A116 A3:A33 A38:A63 A68:A97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7" r:id="rId19"/>
    <hyperlink ref="D49" r:id="rId20"/>
    <hyperlink ref="D52" r:id="rId21"/>
    <hyperlink ref="D53" r:id="rId22"/>
    <hyperlink ref="D55" r:id="rId23"/>
    <hyperlink ref="D58" r:id="rId24"/>
    <hyperlink ref="D59" r:id="rId25"/>
    <hyperlink ref="D69" r:id="rId26"/>
    <hyperlink ref="D70" r:id="rId27"/>
    <hyperlink ref="D71" r:id="rId28"/>
    <hyperlink ref="D72" r:id="rId29"/>
    <hyperlink ref="D74" r:id="rId30"/>
    <hyperlink ref="D78" r:id="rId31"/>
    <hyperlink ref="D79" r:id="rId32"/>
    <hyperlink ref="D81" r:id="rId33"/>
    <hyperlink ref="D85" r:id="rId34"/>
    <hyperlink ref="D86" r:id="rId35"/>
    <hyperlink ref="D87" r:id="rId36"/>
    <hyperlink ref="D88" r:id="rId37"/>
    <hyperlink ref="D89" r:id="rId38"/>
    <hyperlink ref="D95" r:id="rId39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0"/>
  <headerFooter>
    <oddHeader>&amp;L&amp;"ETML L,Normal"&amp;24ETML</oddHeader>
    <oddFooter>&amp;C&amp;F&amp;L&amp;D</oddFooter>
  </headerFooter>
  <drawing r:id="rId41"/>
  <legacyDrawing r:id="rId42"/>
  <controls>
    <mc:AlternateContent xmlns:mc="http://schemas.openxmlformats.org/markup-compatibility/2006">
      <mc:Choice Requires="x14">
        <control shapeId="43009" r:id="rId43" name="btnImportRealisation">
          <controlPr defaultSize="0" autoLine="0" autoPict="0" r:id="rId4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2017-06-16T12:48:02Z</dcterms:modified>
  <cp:contentStatus>Version 8.0</cp:contentStatus>
</cp:coreProperties>
</file>