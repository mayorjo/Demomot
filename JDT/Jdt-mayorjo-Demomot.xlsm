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JDT\"/>
    </mc:Choice>
  </mc:AlternateContent>
  <bookViews>
    <workbookView xWindow="0" yWindow="0" windowWidth="25200" windowHeight="11850" activeTab="7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Planning!$A$1:$D$19</definedName>
    <definedName name="objPlanifWeek">PlanificationWeek!$A$1:$D$14</definedName>
    <definedName name="objRealizedWeek" localSheetId="6">achievementWeek!$A$1:$D$19</definedName>
    <definedName name="objRealizedWeek" localSheetId="7">JNLTRAV!$A$1:$D$35</definedName>
    <definedName name="_xlnm.Print_Area" localSheetId="1">Diagramme!$A$1:$MZ$31</definedName>
    <definedName name="_xlnm.Print_Area" localSheetId="0">Donnees!$A$1:$G$54</definedName>
    <definedName name="_xlnm.Print_Area" localSheetId="7">JNLTRAV!$A$1:$D$92</definedName>
    <definedName name="_xlnm.Print_Area" localSheetId="5">Planning!$A$1:$D$77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7" i="159" l="1"/>
  <c r="B25" i="159"/>
  <c r="B23" i="159"/>
  <c r="B21" i="159"/>
  <c r="B19" i="159"/>
  <c r="B17" i="159"/>
  <c r="B15" i="159"/>
  <c r="B13" i="159"/>
  <c r="B11" i="159"/>
  <c r="B9" i="159"/>
  <c r="B7" i="159"/>
  <c r="B5" i="159"/>
  <c r="C30" i="159"/>
  <c r="C29" i="159"/>
  <c r="B91" i="156" l="1"/>
  <c r="B72" i="156"/>
  <c r="B53" i="156"/>
  <c r="B34" i="156"/>
  <c r="B76" i="155"/>
  <c r="B63" i="155"/>
  <c r="B40" i="155"/>
  <c r="B18" i="155"/>
  <c r="B18" i="154" l="1"/>
  <c r="B13" i="11"/>
</calcChain>
</file>

<file path=xl/sharedStrings.xml><?xml version="1.0" encoding="utf-8"?>
<sst xmlns="http://schemas.openxmlformats.org/spreadsheetml/2006/main" count="299" uniqueCount="124">
  <si>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</si>
  <si>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</si>
  <si>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</si>
  <si>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</si>
  <si>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</si>
  <si>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</si>
  <si>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</si>
  <si>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</si>
  <si>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</si>
  <si>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</si>
  <si>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</si>
  <si>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</si>
  <si>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</si>
  <si>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</si>
  <si>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</si>
  <si>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</si>
  <si>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</si>
  <si>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</si>
  <si>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</si>
  <si>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</si>
  <si>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</si>
  <si>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</si>
  <si>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</si>
  <si>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</si>
  <si>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</si>
  <si>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Jonathan Mayor</t>
  </si>
  <si>
    <t>CIN2a</t>
  </si>
  <si>
    <t>ETML</t>
  </si>
  <si>
    <t>JDT - Documentation</t>
  </si>
  <si>
    <t xml:space="preserve">Création Théorie </t>
  </si>
  <si>
    <t>Création Présentation</t>
  </si>
  <si>
    <t>Création exercice</t>
  </si>
  <si>
    <t>Création évaluation</t>
  </si>
  <si>
    <t>Création corriger</t>
  </si>
  <si>
    <t xml:space="preserve">Compéhension du sujet </t>
  </si>
  <si>
    <t>Libre</t>
  </si>
  <si>
    <t>Max. 90</t>
  </si>
  <si>
    <t>STOP</t>
  </si>
  <si>
    <t>S 1</t>
  </si>
  <si>
    <t>S 2</t>
  </si>
  <si>
    <t>S 3</t>
  </si>
  <si>
    <t>S 4</t>
  </si>
  <si>
    <t>Git</t>
  </si>
  <si>
    <t xml:space="preserve">Création du cahier des charges </t>
  </si>
  <si>
    <t>Création du dépôt</t>
  </si>
  <si>
    <t>Création d'un document sur la théorie du MVC</t>
  </si>
  <si>
    <t>Création de la présentation sur le MVC</t>
  </si>
  <si>
    <t>Création de différents exercices concernant le MVC</t>
  </si>
  <si>
    <t xml:space="preserve">Création d'un fichier de correction pour ces exercices </t>
  </si>
  <si>
    <t xml:space="preserve">Création d'un test formatif </t>
  </si>
  <si>
    <t>Création d'un corriger pour l'évaluation au dessus</t>
  </si>
  <si>
    <t>Séance de classe</t>
  </si>
  <si>
    <t>Temps libre au cas ou</t>
  </si>
  <si>
    <t xml:space="preserve">Recherche d'information sur le MVC pour pouvoir l'expliquer </t>
  </si>
  <si>
    <t>Organisation des rangements</t>
  </si>
  <si>
    <t xml:space="preserve">recherche d'informations sur l'internationalisation </t>
  </si>
  <si>
    <t xml:space="preserve">Création d'un document de théorie sur l'internationalisation </t>
  </si>
  <si>
    <t xml:space="preserve">Création d'un document de présentation sur l'internationalisation </t>
  </si>
  <si>
    <t>Création du cahier des charges</t>
  </si>
  <si>
    <t>Mise en place d'un dépôt GitHub et clonage du dépôt avec Git-Kraken</t>
  </si>
  <si>
    <t>..\CDC\Cahier des charges pour DemoMot.pdf</t>
  </si>
  <si>
    <t>..\..\Demomot</t>
  </si>
  <si>
    <t xml:space="preserve">Création de la planification pour les différentes semaines </t>
  </si>
  <si>
    <t>Pas fini -&gt; A faire : semaine 2-4</t>
  </si>
  <si>
    <t xml:space="preserve">JDT - Mise à jour </t>
  </si>
  <si>
    <t>LUNDI (24)</t>
  </si>
  <si>
    <t>MARDI (12)</t>
  </si>
  <si>
    <t>MERCREDI (27)</t>
  </si>
  <si>
    <t>VENDREDI (27)</t>
  </si>
  <si>
    <t>LUNDI (24, nbs de quart d'heure)</t>
  </si>
  <si>
    <t>Création d'exercies sur l'internationalisation</t>
  </si>
  <si>
    <t xml:space="preserve">Création des corriger  pour les exercices en dessus </t>
  </si>
  <si>
    <t>Création de l'évaluation pour l'internationalisation</t>
  </si>
  <si>
    <t>Création du corriger pour l'internationalisation</t>
  </si>
  <si>
    <t>recherche d'informations sur les Regex</t>
  </si>
  <si>
    <t>Création d'un document théorique sur les regex</t>
  </si>
  <si>
    <t>Création de la présentation pour les Regex</t>
  </si>
  <si>
    <t>Création d'exercies sur les Regex</t>
  </si>
  <si>
    <t xml:space="preserve">Pentecote </t>
  </si>
  <si>
    <t>Libre en cas de retard/absence</t>
  </si>
  <si>
    <t>Création de l'évaluation pour les Regex</t>
  </si>
  <si>
    <t xml:space="preserve">Création du corriger pour l'évaluation </t>
  </si>
  <si>
    <t>Création de la présentation pour les Guides Lines</t>
  </si>
  <si>
    <t>Création d'un support sur les Guides Lines</t>
  </si>
  <si>
    <t>Recherche sur les Guides Lines</t>
  </si>
  <si>
    <t>Création d'exercices sur les Guides Lines</t>
  </si>
  <si>
    <t xml:space="preserve">Créaition de corriger pour les guides lines </t>
  </si>
  <si>
    <t>Création d'une évaluation sur les Guides Lines</t>
  </si>
  <si>
    <t xml:space="preserve">Création de l'évaluation finale regroupent tous les sujets </t>
  </si>
  <si>
    <t>Création du corriger de l'évaluation finale</t>
  </si>
  <si>
    <t xml:space="preserve">Correction orthographe </t>
  </si>
  <si>
    <t>Correction des fautes d'orthographes sur tout</t>
  </si>
  <si>
    <t>Libre en cas de besoins</t>
  </si>
  <si>
    <t>Création des présentations pour la fin</t>
  </si>
  <si>
    <t>Présentation</t>
  </si>
  <si>
    <t xml:space="preserve">Présentation </t>
  </si>
  <si>
    <t>Rangement des classes</t>
  </si>
  <si>
    <t>VACANCES</t>
  </si>
  <si>
    <t>Fin de la planification + Mise à jour JDT</t>
  </si>
  <si>
    <t>Création du support théorique (Word) -&gt; Pas fini</t>
  </si>
  <si>
    <t>Code C#</t>
  </si>
  <si>
    <t>..\MVC\MVC.docx</t>
  </si>
  <si>
    <t>Création d'exemple en C# pour le support théorique (pas fini)</t>
  </si>
  <si>
    <t>Création d'exemple en C# pour le support théorique (fini)</t>
  </si>
  <si>
    <t>Correction des fautes d'orthographes dans le document Word (fini)</t>
  </si>
  <si>
    <t>Modification : ajout d'une méthode pour avoir le longeur du tableau (Modele.cs lignes 55-62)</t>
  </si>
  <si>
    <t>Suite du support Word : ajout "MVC ce n'est pas ça, Modèle, Vue, Contructeur"</t>
  </si>
  <si>
    <t>Création de la présentation pour le MVC</t>
  </si>
  <si>
    <t>..\MVC\MVC.pptm</t>
  </si>
  <si>
    <t>Création d'exercices sur le MVC</t>
  </si>
  <si>
    <t>Création de l'évaluation (Word)</t>
  </si>
  <si>
    <t>..\MVC\evaluation\evaluationMVC.docx</t>
  </si>
  <si>
    <t>Création du corriger de l'évaluation (C#) /!\PAS FINI/!\</t>
  </si>
  <si>
    <t>Création du corriger de l'évaluation (C#) FINI</t>
  </si>
  <si>
    <t>Modification : ajout d'une structure, et de questions ouvertes (Word)</t>
  </si>
  <si>
    <t xml:space="preserve">Modification : Commentaire dans chaques slides pour que quelqu'un qui ne connait pas le sujet puisse présenté quand même </t>
  </si>
  <si>
    <t>Modification : ajout d'une arborescence
Ajout : - des exercies 1-3
             - reprise d'un exercie Gui pour l'exercie 3</t>
  </si>
  <si>
    <t>..\MVC\exercices\exercice 3\exercice 3 - Corriger</t>
  </si>
  <si>
    <t>Création du corrigé  pour l'exercie 3  /!\PAS FINI/!\</t>
  </si>
  <si>
    <t>..\MVC\exercices\Exercices.docx</t>
  </si>
  <si>
    <t>Continuation du corrigé de l'exercie 3 : Bug avec la vue, je ne comprends pas ce que c'est. Ligne 17 Objet Vue</t>
  </si>
  <si>
    <t>..\MVC\exercices\exercice 3\exercice 3 - Corriger\StateMachineGUI.sln</t>
  </si>
  <si>
    <t>..\MVC\exercices\exercice 2\Corriger exercice 2\X-403-mayorjo-Listedeclasse.sln</t>
  </si>
  <si>
    <t>..\MVC\evaluation\evaluation - Corriger\Croix.sln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</si>
</sst>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name val="Century Gothic"/>
      <family val="2"/>
      <scheme val="major"/>
    </font>
    <font>
      <sz val="2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4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0" fillId="0" borderId="20" xfId="1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20" fillId="9" borderId="0" xfId="0" applyFont="1" applyFill="1"/>
    <xf numFmtId="0" fontId="8" fillId="3" borderId="20" xfId="0" applyFont="1" applyFill="1" applyBorder="1" applyAlignment="1" applyProtection="1">
      <alignment horizontal="center" vertical="center"/>
    </xf>
    <xf numFmtId="0" fontId="13" fillId="3" borderId="20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21" fillId="0" borderId="3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MVC\evaluation\evaluation%20-%20Corriger\Croix.sln" TargetMode="External"/><Relationship Id="rId13" Type="http://schemas.openxmlformats.org/officeDocument/2006/relationships/hyperlink" Target="..\MVC\exercices\Exercices.docx" TargetMode="External"/><Relationship Id="rId18" Type="http://schemas.openxmlformats.org/officeDocument/2006/relationships/hyperlink" Target="..\MVC\exercices\Exercices.docx" TargetMode="External"/><Relationship Id="rId3" Type="http://schemas.openxmlformats.org/officeDocument/2006/relationships/hyperlink" Target="..\MVC\MVC.docx" TargetMode="External"/><Relationship Id="rId21" Type="http://schemas.openxmlformats.org/officeDocument/2006/relationships/vmlDrawing" Target="../drawings/vmlDrawing5.vml"/><Relationship Id="rId7" Type="http://schemas.openxmlformats.org/officeDocument/2006/relationships/hyperlink" Target="..\MVC\evaluation\evaluationMVC.docx" TargetMode="External"/><Relationship Id="rId12" Type="http://schemas.openxmlformats.org/officeDocument/2006/relationships/hyperlink" Target="..\MVC\exercices\exercice%203\exercice%203%20-%20Corriger" TargetMode="External"/><Relationship Id="rId17" Type="http://schemas.openxmlformats.org/officeDocument/2006/relationships/hyperlink" Target="..\MVC\exercices\exercice%202\Corriger%20exercice%202\X-403-mayorjo-Listedeclasse.sln" TargetMode="External"/><Relationship Id="rId2" Type="http://schemas.openxmlformats.org/officeDocument/2006/relationships/hyperlink" Target="..\..\Demomot" TargetMode="External"/><Relationship Id="rId16" Type="http://schemas.openxmlformats.org/officeDocument/2006/relationships/hyperlink" Target="..\MVC\exercices\exercice%202\Corriger%20exercice%202\X-403-mayorjo-Listedeclasse.sln" TargetMode="External"/><Relationship Id="rId20" Type="http://schemas.openxmlformats.org/officeDocument/2006/relationships/drawing" Target="../drawings/drawing5.xml"/><Relationship Id="rId1" Type="http://schemas.openxmlformats.org/officeDocument/2006/relationships/hyperlink" Target="..\CDC\Cahier%20des%20charges%20pour%20DemoMot.pdf" TargetMode="External"/><Relationship Id="rId6" Type="http://schemas.openxmlformats.org/officeDocument/2006/relationships/hyperlink" Target="..\MVC\MVC.pptm" TargetMode="External"/><Relationship Id="rId11" Type="http://schemas.openxmlformats.org/officeDocument/2006/relationships/hyperlink" Target="..\MVC\MVC.pptm" TargetMode="External"/><Relationship Id="rId5" Type="http://schemas.openxmlformats.org/officeDocument/2006/relationships/hyperlink" Target="..\MVC\MVC.docx" TargetMode="External"/><Relationship Id="rId15" Type="http://schemas.openxmlformats.org/officeDocument/2006/relationships/hyperlink" Target="..\MVC\exercices\exercice%202\Corriger%20exercice%202\X-403-mayorjo-Listedeclasse.sln" TargetMode="External"/><Relationship Id="rId23" Type="http://schemas.openxmlformats.org/officeDocument/2006/relationships/image" Target="../media/image7.emf"/><Relationship Id="rId10" Type="http://schemas.openxmlformats.org/officeDocument/2006/relationships/hyperlink" Target="..\MVC\evaluation\evaluationMVC.docx" TargetMode="External"/><Relationship Id="rId19" Type="http://schemas.openxmlformats.org/officeDocument/2006/relationships/printerSettings" Target="../printerSettings/printerSettings5.bin"/><Relationship Id="rId4" Type="http://schemas.openxmlformats.org/officeDocument/2006/relationships/hyperlink" Target="..\MVC\MVC.docx" TargetMode="External"/><Relationship Id="rId9" Type="http://schemas.openxmlformats.org/officeDocument/2006/relationships/hyperlink" Target="..\MVC\evaluation\evaluation%20-%20Corriger\Croix.sln" TargetMode="External"/><Relationship Id="rId14" Type="http://schemas.openxmlformats.org/officeDocument/2006/relationships/hyperlink" Target="..\MVC\exercices\exercice%203\exercice%203%20-%20Corriger\StateMachineGUI.sln" TargetMode="External"/><Relationship Id="rId22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2" sqref="C3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31" t="s">
        <v>19</v>
      </c>
      <c r="C19" s="13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90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94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100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35" t="s">
        <v>38</v>
      </c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  <c r="CK2" s="136"/>
      <c r="CL2" s="136"/>
      <c r="CM2" s="136"/>
      <c r="CN2" s="136"/>
      <c r="CO2" s="137"/>
      <c r="CP2" s="135" t="s">
        <v>39</v>
      </c>
      <c r="CQ2" s="136"/>
      <c r="CR2" s="136"/>
      <c r="CS2" s="136"/>
      <c r="CT2" s="136"/>
      <c r="CU2" s="136"/>
      <c r="CV2" s="136"/>
      <c r="CW2" s="136"/>
      <c r="CX2" s="136"/>
      <c r="CY2" s="136"/>
      <c r="CZ2" s="136"/>
      <c r="DA2" s="136"/>
      <c r="DB2" s="136"/>
      <c r="DC2" s="136"/>
      <c r="DD2" s="136"/>
      <c r="DE2" s="136"/>
      <c r="DF2" s="136"/>
      <c r="DG2" s="136"/>
      <c r="DH2" s="136"/>
      <c r="DI2" s="136"/>
      <c r="DJ2" s="136"/>
      <c r="DK2" s="136"/>
      <c r="DL2" s="136"/>
      <c r="DM2" s="136"/>
      <c r="DN2" s="136"/>
      <c r="DO2" s="136"/>
      <c r="DP2" s="136"/>
      <c r="DQ2" s="136"/>
      <c r="DR2" s="136"/>
      <c r="DS2" s="136"/>
      <c r="DT2" s="136"/>
      <c r="DU2" s="136"/>
      <c r="DV2" s="136"/>
      <c r="DW2" s="136"/>
      <c r="DX2" s="136"/>
      <c r="DY2" s="136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  <c r="FL2" s="136"/>
      <c r="FM2" s="136"/>
      <c r="FN2" s="136"/>
      <c r="FO2" s="136"/>
      <c r="FP2" s="136"/>
      <c r="FQ2" s="136"/>
      <c r="FR2" s="136"/>
      <c r="FS2" s="136"/>
      <c r="FT2" s="136"/>
      <c r="FU2" s="136"/>
      <c r="FV2" s="136"/>
      <c r="FW2" s="136"/>
      <c r="FX2" s="136"/>
      <c r="FY2" s="136"/>
      <c r="FZ2" s="136"/>
      <c r="GA2" s="137"/>
      <c r="GB2" s="135" t="s">
        <v>40</v>
      </c>
      <c r="GC2" s="136"/>
      <c r="GD2" s="136"/>
      <c r="GE2" s="136"/>
      <c r="GF2" s="136"/>
      <c r="GG2" s="136"/>
      <c r="GH2" s="136"/>
      <c r="GI2" s="136"/>
      <c r="GJ2" s="136"/>
      <c r="GK2" s="136"/>
      <c r="GL2" s="136"/>
      <c r="GM2" s="136"/>
      <c r="GN2" s="136"/>
      <c r="GO2" s="136"/>
      <c r="GP2" s="136"/>
      <c r="GQ2" s="136"/>
      <c r="GR2" s="136"/>
      <c r="GS2" s="136"/>
      <c r="GT2" s="136"/>
      <c r="GU2" s="136"/>
      <c r="GV2" s="136"/>
      <c r="GW2" s="136"/>
      <c r="GX2" s="136"/>
      <c r="GY2" s="136"/>
      <c r="GZ2" s="136"/>
      <c r="HA2" s="136"/>
      <c r="HB2" s="136"/>
      <c r="HC2" s="136"/>
      <c r="HD2" s="136"/>
      <c r="HE2" s="136"/>
      <c r="HF2" s="136"/>
      <c r="HG2" s="136"/>
      <c r="HH2" s="136"/>
      <c r="HI2" s="136"/>
      <c r="HJ2" s="136"/>
      <c r="HK2" s="136"/>
      <c r="HL2" s="136"/>
      <c r="HM2" s="136"/>
      <c r="HN2" s="136"/>
      <c r="HO2" s="136"/>
      <c r="HP2" s="136"/>
      <c r="HQ2" s="136"/>
      <c r="HR2" s="136"/>
      <c r="HS2" s="136"/>
      <c r="HT2" s="136"/>
      <c r="HU2" s="136"/>
      <c r="HV2" s="136"/>
      <c r="HW2" s="136"/>
      <c r="HX2" s="136"/>
      <c r="HY2" s="136"/>
      <c r="HZ2" s="136"/>
      <c r="IA2" s="136"/>
      <c r="IB2" s="136"/>
      <c r="IC2" s="136"/>
      <c r="ID2" s="136"/>
      <c r="IE2" s="136"/>
      <c r="IF2" s="136"/>
      <c r="IG2" s="136"/>
      <c r="IH2" s="136"/>
      <c r="II2" s="136"/>
      <c r="IJ2" s="136"/>
      <c r="IK2" s="136"/>
      <c r="IL2" s="136"/>
      <c r="IM2" s="136"/>
      <c r="IN2" s="136"/>
      <c r="IO2" s="136"/>
      <c r="IP2" s="136"/>
      <c r="IQ2" s="136"/>
      <c r="IR2" s="136"/>
      <c r="IS2" s="136"/>
      <c r="IT2" s="136"/>
      <c r="IU2" s="136"/>
      <c r="IV2" s="136"/>
      <c r="IW2" s="136"/>
      <c r="IX2" s="136"/>
      <c r="IY2" s="136"/>
      <c r="IZ2" s="136"/>
      <c r="JA2" s="136"/>
      <c r="JB2" s="136"/>
      <c r="JC2" s="136"/>
      <c r="JD2" s="136"/>
      <c r="JE2" s="136"/>
      <c r="JF2" s="136"/>
      <c r="JG2" s="136"/>
      <c r="JH2" s="136"/>
      <c r="JI2" s="136"/>
      <c r="JJ2" s="136"/>
      <c r="JK2" s="136"/>
      <c r="JL2" s="136"/>
      <c r="JM2" s="137"/>
      <c r="JN2" s="135" t="s">
        <v>41</v>
      </c>
      <c r="JO2" s="136"/>
      <c r="JP2" s="136"/>
      <c r="JQ2" s="136"/>
      <c r="JR2" s="136"/>
      <c r="JS2" s="136"/>
      <c r="JT2" s="136"/>
      <c r="JU2" s="136"/>
      <c r="JV2" s="136"/>
      <c r="JW2" s="136"/>
      <c r="JX2" s="136"/>
      <c r="JY2" s="136"/>
      <c r="JZ2" s="136"/>
      <c r="KA2" s="136"/>
      <c r="KB2" s="136"/>
      <c r="KC2" s="136"/>
      <c r="KD2" s="136"/>
      <c r="KE2" s="136"/>
      <c r="KF2" s="136"/>
      <c r="KG2" s="136"/>
      <c r="KH2" s="136"/>
      <c r="KI2" s="136"/>
      <c r="KJ2" s="136"/>
      <c r="KK2" s="136"/>
      <c r="KL2" s="136"/>
      <c r="KM2" s="136"/>
      <c r="KN2" s="136"/>
      <c r="KO2" s="136"/>
      <c r="KP2" s="136"/>
      <c r="KQ2" s="136"/>
      <c r="KR2" s="136"/>
      <c r="KS2" s="136"/>
      <c r="KT2" s="136"/>
      <c r="KU2" s="136"/>
      <c r="KV2" s="136"/>
      <c r="KW2" s="136"/>
      <c r="KX2" s="136"/>
      <c r="KY2" s="136"/>
      <c r="KZ2" s="136"/>
      <c r="LA2" s="136"/>
      <c r="LB2" s="136"/>
      <c r="LC2" s="136"/>
      <c r="LD2" s="136"/>
      <c r="LE2" s="136"/>
      <c r="LF2" s="136"/>
      <c r="LG2" s="136"/>
      <c r="LH2" s="136"/>
      <c r="LI2" s="136"/>
      <c r="LJ2" s="136"/>
      <c r="LK2" s="136"/>
      <c r="LL2" s="136"/>
      <c r="LM2" s="136"/>
      <c r="LN2" s="136"/>
      <c r="LO2" s="136"/>
      <c r="LP2" s="136"/>
      <c r="LQ2" s="136"/>
      <c r="LR2" s="136"/>
      <c r="LS2" s="136"/>
      <c r="LT2" s="136"/>
      <c r="LU2" s="136"/>
      <c r="LV2" s="136"/>
      <c r="LW2" s="136"/>
      <c r="LX2" s="136"/>
      <c r="LY2" s="136"/>
      <c r="LZ2" s="136"/>
      <c r="MA2" s="136"/>
      <c r="MB2" s="136"/>
      <c r="MC2" s="136"/>
      <c r="MD2" s="136"/>
      <c r="ME2" s="136"/>
      <c r="MF2" s="136"/>
      <c r="MG2" s="136"/>
      <c r="MH2" s="136"/>
      <c r="MI2" s="136"/>
      <c r="MJ2" s="136"/>
      <c r="MK2" s="136"/>
      <c r="ML2" s="136"/>
      <c r="MM2" s="136"/>
      <c r="MN2" s="136"/>
      <c r="MO2" s="136"/>
      <c r="MP2" s="136"/>
      <c r="MQ2" s="136"/>
      <c r="MR2" s="136"/>
      <c r="MS2" s="136"/>
      <c r="MT2" s="136"/>
      <c r="MU2" s="136"/>
      <c r="MV2" s="136"/>
      <c r="MW2" s="136"/>
      <c r="MX2" s="136"/>
      <c r="MY2" s="137"/>
    </row>
    <row r="3" spans="1:363" ht="19.5" customHeight="1" x14ac:dyDescent="0.2">
      <c r="A3" s="88"/>
      <c r="B3" s="138" t="s">
        <v>21</v>
      </c>
      <c r="C3" s="30">
        <v>78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128"/>
      <c r="T3" s="126"/>
      <c r="U3" s="127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125"/>
      <c r="CQ3" s="126"/>
      <c r="CR3" s="127"/>
      <c r="CS3" s="128"/>
      <c r="CT3" s="126"/>
      <c r="CU3" s="127"/>
      <c r="CV3" s="128"/>
      <c r="CW3" s="126"/>
      <c r="CX3" s="127"/>
      <c r="CY3" s="128"/>
      <c r="CZ3" s="126"/>
      <c r="DA3" s="127"/>
      <c r="DB3" s="128"/>
      <c r="DC3" s="126"/>
      <c r="DD3" s="127"/>
      <c r="DE3" s="128"/>
      <c r="DF3" s="126"/>
      <c r="DG3" s="127"/>
      <c r="DH3" s="128"/>
      <c r="DI3" s="126"/>
      <c r="DJ3" s="127"/>
      <c r="DK3" s="128"/>
      <c r="DL3" s="126"/>
      <c r="DM3" s="127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125"/>
      <c r="JO3" s="126"/>
      <c r="JP3" s="127"/>
      <c r="JQ3" s="128"/>
      <c r="JR3" s="126"/>
      <c r="JS3" s="127"/>
      <c r="JT3" s="128"/>
      <c r="JU3" s="126"/>
      <c r="JV3" s="127"/>
      <c r="JW3" s="128"/>
      <c r="JX3" s="126"/>
      <c r="JY3" s="127"/>
      <c r="JZ3" s="128"/>
      <c r="KA3" s="126"/>
      <c r="KB3" s="127"/>
      <c r="KC3" s="128"/>
      <c r="KD3" s="126"/>
      <c r="KE3" s="127"/>
      <c r="KF3" s="128"/>
      <c r="KG3" s="126"/>
      <c r="KH3" s="127"/>
      <c r="KI3" s="128"/>
      <c r="KJ3" s="126"/>
      <c r="KK3" s="127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128"/>
      <c r="LZ3" s="126"/>
      <c r="MA3" s="127"/>
      <c r="MB3" s="128"/>
      <c r="MC3" s="126"/>
      <c r="MD3" s="127"/>
      <c r="ME3" s="128"/>
      <c r="MF3" s="126"/>
      <c r="MG3" s="127"/>
      <c r="MH3" s="128"/>
      <c r="MI3" s="126"/>
      <c r="MJ3" s="127"/>
      <c r="MK3" s="128"/>
      <c r="ML3" s="126"/>
      <c r="MM3" s="127"/>
      <c r="MN3" s="128"/>
      <c r="MO3" s="126"/>
      <c r="MP3" s="127"/>
      <c r="MQ3" s="128"/>
      <c r="MR3" s="126"/>
      <c r="MS3" s="127"/>
      <c r="MT3" s="128"/>
      <c r="MU3" s="126"/>
      <c r="MV3" s="127"/>
      <c r="MW3" s="128"/>
      <c r="MX3" s="126"/>
      <c r="MY3" s="129"/>
    </row>
    <row r="4" spans="1:363" ht="19.5" customHeight="1" thickBot="1" x14ac:dyDescent="0.25">
      <c r="A4" s="88"/>
      <c r="B4" s="139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40" t="str">
        <f>Donnees!$C$21</f>
        <v>JDT - Documentation</v>
      </c>
      <c r="C5" s="99">
        <v>15</v>
      </c>
      <c r="D5" s="125"/>
      <c r="E5" s="126"/>
      <c r="F5" s="127"/>
      <c r="G5" s="128"/>
      <c r="H5" s="126"/>
      <c r="I5" s="127"/>
      <c r="J5" s="128"/>
      <c r="K5" s="126"/>
      <c r="L5" s="127"/>
      <c r="M5" s="128"/>
      <c r="N5" s="126"/>
      <c r="O5" s="127"/>
      <c r="P5" s="128"/>
      <c r="Q5" s="126"/>
      <c r="R5" s="127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34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33" t="str">
        <f>Donnees!$C$22</f>
        <v xml:space="preserve">Création Théorie </v>
      </c>
      <c r="C7" s="99">
        <v>36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128"/>
      <c r="AC7" s="126"/>
      <c r="AD7" s="127"/>
      <c r="AE7" s="128"/>
      <c r="AF7" s="126"/>
      <c r="AG7" s="127"/>
      <c r="AH7" s="128"/>
      <c r="AI7" s="126"/>
      <c r="AJ7" s="127"/>
      <c r="AK7" s="128"/>
      <c r="AL7" s="126"/>
      <c r="AM7" s="127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128"/>
      <c r="DR7" s="126"/>
      <c r="DS7" s="127"/>
      <c r="DT7" s="128"/>
      <c r="DU7" s="126"/>
      <c r="DV7" s="127"/>
      <c r="DW7" s="128"/>
      <c r="DX7" s="126"/>
      <c r="DY7" s="127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128"/>
      <c r="FE7" s="126"/>
      <c r="FF7" s="127"/>
      <c r="FG7" s="128"/>
      <c r="FH7" s="126"/>
      <c r="FI7" s="127"/>
      <c r="FJ7" s="128"/>
      <c r="FK7" s="126"/>
      <c r="FL7" s="127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28"/>
      <c r="GR7" s="126"/>
      <c r="GS7" s="127"/>
      <c r="GT7" s="128"/>
      <c r="GU7" s="126"/>
      <c r="GV7" s="127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34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33" t="str">
        <f>Donnees!$C$23</f>
        <v>Création Présentation</v>
      </c>
      <c r="C9" s="99">
        <v>36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128"/>
      <c r="AO9" s="126"/>
      <c r="AP9" s="127"/>
      <c r="AQ9" s="128"/>
      <c r="AR9" s="126"/>
      <c r="AS9" s="127"/>
      <c r="AT9" s="128"/>
      <c r="AU9" s="126"/>
      <c r="AV9" s="127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128"/>
      <c r="EA9" s="126"/>
      <c r="EB9" s="127"/>
      <c r="EC9" s="128"/>
      <c r="ED9" s="126"/>
      <c r="EE9" s="127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128"/>
      <c r="FN9" s="126"/>
      <c r="FO9" s="127"/>
      <c r="FP9" s="128"/>
      <c r="FQ9" s="126"/>
      <c r="FR9" s="127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128"/>
      <c r="GX9" s="126"/>
      <c r="GY9" s="127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128"/>
      <c r="KM9" s="126"/>
      <c r="KN9" s="127"/>
      <c r="KO9" s="128"/>
      <c r="KP9" s="126"/>
      <c r="KQ9" s="127"/>
      <c r="KR9" s="128"/>
      <c r="KS9" s="126"/>
      <c r="KT9" s="127"/>
      <c r="KU9" s="128"/>
      <c r="KV9" s="126"/>
      <c r="KW9" s="127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34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33" t="str">
        <f>Donnees!$C$24</f>
        <v>Création exercice</v>
      </c>
      <c r="C11" s="99">
        <v>30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128"/>
      <c r="AX11" s="126"/>
      <c r="AY11" s="127"/>
      <c r="AZ11" s="128"/>
      <c r="BA11" s="126"/>
      <c r="BB11" s="127"/>
      <c r="BC11" s="128"/>
      <c r="BD11" s="126"/>
      <c r="BE11" s="127"/>
      <c r="BF11" s="128"/>
      <c r="BG11" s="126"/>
      <c r="BH11" s="127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128"/>
      <c r="EG11" s="126"/>
      <c r="EH11" s="127"/>
      <c r="EI11" s="128"/>
      <c r="EJ11" s="126"/>
      <c r="EK11" s="127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128"/>
      <c r="FT11" s="126"/>
      <c r="FU11" s="127"/>
      <c r="FV11" s="128"/>
      <c r="FW11" s="126"/>
      <c r="FX11" s="127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128"/>
      <c r="HA11" s="126"/>
      <c r="HB11" s="127"/>
      <c r="HC11" s="128"/>
      <c r="HD11" s="126"/>
      <c r="HE11" s="127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34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33" t="str">
        <f>Donnees!$C$25</f>
        <v>Création évaluation</v>
      </c>
      <c r="C13" s="99">
        <v>39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128"/>
      <c r="BP13" s="126"/>
      <c r="BQ13" s="127"/>
      <c r="BR13" s="128"/>
      <c r="BS13" s="126"/>
      <c r="BT13" s="127"/>
      <c r="BU13" s="128"/>
      <c r="BV13" s="126"/>
      <c r="BW13" s="127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128"/>
      <c r="EP13" s="126"/>
      <c r="EQ13" s="127"/>
      <c r="ER13" s="128"/>
      <c r="ES13" s="126"/>
      <c r="ET13" s="127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125"/>
      <c r="GC13" s="126"/>
      <c r="GD13" s="127"/>
      <c r="GE13" s="128"/>
      <c r="GF13" s="126"/>
      <c r="GG13" s="127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128"/>
      <c r="HM13" s="126"/>
      <c r="HN13" s="127"/>
      <c r="HO13" s="128"/>
      <c r="HP13" s="126"/>
      <c r="HQ13" s="127"/>
      <c r="HR13" s="128"/>
      <c r="HS13" s="126"/>
      <c r="HT13" s="127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128"/>
      <c r="IN13" s="126"/>
      <c r="IO13" s="127"/>
      <c r="IP13" s="128"/>
      <c r="IQ13" s="126"/>
      <c r="IR13" s="127"/>
      <c r="IS13" s="128"/>
      <c r="IT13" s="126"/>
      <c r="IU13" s="127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34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33" t="str">
        <f>Donnees!$C$26</f>
        <v>Création corriger</v>
      </c>
      <c r="C15" s="99">
        <v>45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128"/>
      <c r="BJ15" s="126"/>
      <c r="BK15" s="127"/>
      <c r="BL15" s="128"/>
      <c r="BM15" s="126"/>
      <c r="BN15" s="127"/>
      <c r="BO15" s="92"/>
      <c r="BP15" s="90"/>
      <c r="BQ15" s="91"/>
      <c r="BR15" s="92"/>
      <c r="BS15" s="90"/>
      <c r="BT15" s="91"/>
      <c r="BU15" s="92"/>
      <c r="BV15" s="90"/>
      <c r="BW15" s="91"/>
      <c r="BX15" s="128"/>
      <c r="BY15" s="126"/>
      <c r="BZ15" s="127"/>
      <c r="CA15" s="128"/>
      <c r="CB15" s="126"/>
      <c r="CC15" s="127"/>
      <c r="CD15" s="128"/>
      <c r="CE15" s="126"/>
      <c r="CF15" s="127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128"/>
      <c r="EM15" s="126"/>
      <c r="EN15" s="127"/>
      <c r="EO15" s="92"/>
      <c r="EP15" s="90"/>
      <c r="EQ15" s="91"/>
      <c r="ER15" s="92"/>
      <c r="ES15" s="90"/>
      <c r="ET15" s="91"/>
      <c r="EU15" s="128"/>
      <c r="EV15" s="126"/>
      <c r="EW15" s="127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128"/>
      <c r="FZ15" s="126"/>
      <c r="GA15" s="129"/>
      <c r="GB15" s="89"/>
      <c r="GC15" s="90"/>
      <c r="GD15" s="91"/>
      <c r="GE15" s="92"/>
      <c r="GF15" s="90"/>
      <c r="GG15" s="91"/>
      <c r="GH15" s="128"/>
      <c r="GI15" s="126"/>
      <c r="GJ15" s="127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128"/>
      <c r="HG15" s="126"/>
      <c r="HH15" s="127"/>
      <c r="HI15" s="128"/>
      <c r="HJ15" s="126"/>
      <c r="HK15" s="127"/>
      <c r="HL15" s="92"/>
      <c r="HM15" s="90"/>
      <c r="HN15" s="91"/>
      <c r="HO15" s="92"/>
      <c r="HP15" s="90"/>
      <c r="HQ15" s="91"/>
      <c r="HR15" s="92"/>
      <c r="HS15" s="90"/>
      <c r="HT15" s="91"/>
      <c r="HU15" s="128"/>
      <c r="HV15" s="126"/>
      <c r="HW15" s="127"/>
      <c r="HX15" s="128"/>
      <c r="HY15" s="126"/>
      <c r="HZ15" s="127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128"/>
      <c r="IW15" s="126"/>
      <c r="IX15" s="127"/>
      <c r="IY15" s="128"/>
      <c r="IZ15" s="126"/>
      <c r="JA15" s="127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34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33" t="str">
        <f>Donnees!$C$27</f>
        <v xml:space="preserve">Compéhension du sujet </v>
      </c>
      <c r="C17" s="99">
        <v>14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126"/>
      <c r="X17" s="127"/>
      <c r="Y17" s="128"/>
      <c r="Z17" s="126"/>
      <c r="AA17" s="127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128"/>
      <c r="DO17" s="126"/>
      <c r="DP17" s="127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128"/>
      <c r="FB17" s="126"/>
      <c r="FC17" s="127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1"/>
      <c r="GN17" s="128"/>
      <c r="GO17" s="126"/>
      <c r="GP17" s="127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89"/>
      <c r="JO17" s="90"/>
      <c r="JP17" s="91"/>
      <c r="JQ17" s="92"/>
      <c r="JR17" s="90"/>
      <c r="JS17" s="91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34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33" t="str">
        <f>Donnees!$C$28</f>
        <v>Libre</v>
      </c>
      <c r="C19" s="99">
        <v>33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128"/>
      <c r="CH19" s="126"/>
      <c r="CI19" s="127"/>
      <c r="CJ19" s="128"/>
      <c r="CK19" s="126"/>
      <c r="CL19" s="127"/>
      <c r="CM19" s="128"/>
      <c r="CN19" s="126"/>
      <c r="CO19" s="129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128"/>
      <c r="EY19" s="126"/>
      <c r="EZ19" s="127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128"/>
      <c r="GL19" s="126"/>
      <c r="GM19" s="127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128"/>
      <c r="IB19" s="126"/>
      <c r="IC19" s="127"/>
      <c r="ID19" s="128"/>
      <c r="IE19" s="126"/>
      <c r="IF19" s="127"/>
      <c r="IG19" s="128"/>
      <c r="IH19" s="126"/>
      <c r="II19" s="127"/>
      <c r="IJ19" s="128"/>
      <c r="IK19" s="126"/>
      <c r="IL19" s="127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128"/>
      <c r="JI19" s="126"/>
      <c r="JJ19" s="127"/>
      <c r="JK19" s="128"/>
      <c r="JL19" s="126"/>
      <c r="JM19" s="129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34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33" t="str">
        <f>Donnees!$C$29</f>
        <v>Git</v>
      </c>
      <c r="C21" s="99">
        <v>1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128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34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33" t="str">
        <f>Donnees!$C$30</f>
        <v xml:space="preserve">Correction orthographe </v>
      </c>
      <c r="C23" s="99">
        <v>6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90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128"/>
      <c r="JC23" s="126"/>
      <c r="JD23" s="127"/>
      <c r="JE23" s="128"/>
      <c r="JF23" s="126"/>
      <c r="JG23" s="127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34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33" t="str">
        <f>Donnees!$C$31</f>
        <v>Présentation</v>
      </c>
      <c r="C25" s="99">
        <v>27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90"/>
      <c r="JJ25" s="91"/>
      <c r="JK25" s="92"/>
      <c r="JL25" s="90"/>
      <c r="JM25" s="93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90"/>
      <c r="KK25" s="91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128"/>
      <c r="KY25" s="126"/>
      <c r="KZ25" s="127"/>
      <c r="LA25" s="128"/>
      <c r="LB25" s="126"/>
      <c r="LC25" s="127"/>
      <c r="LD25" s="128"/>
      <c r="LE25" s="126"/>
      <c r="LF25" s="127"/>
      <c r="LG25" s="128"/>
      <c r="LH25" s="126"/>
      <c r="LI25" s="127"/>
      <c r="LJ25" s="128"/>
      <c r="LK25" s="126"/>
      <c r="LL25" s="127"/>
      <c r="LM25" s="128"/>
      <c r="LN25" s="126"/>
      <c r="LO25" s="127"/>
      <c r="LP25" s="128"/>
      <c r="LQ25" s="126"/>
      <c r="LR25" s="127"/>
      <c r="LS25" s="128"/>
      <c r="LT25" s="126"/>
      <c r="LU25" s="127"/>
      <c r="LV25" s="128"/>
      <c r="LW25" s="126"/>
      <c r="LX25" s="127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34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33" t="str">
        <f>Donnees!$C$32</f>
        <v>Code C#</v>
      </c>
      <c r="C27" s="99">
        <v>0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92"/>
      <c r="IK27" s="90"/>
      <c r="IL27" s="91"/>
      <c r="IM27" s="92"/>
      <c r="IN27" s="90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90"/>
      <c r="JY27" s="91"/>
      <c r="JZ27" s="92"/>
      <c r="KA27" s="90"/>
      <c r="KB27" s="91"/>
      <c r="KC27" s="92"/>
      <c r="KD27" s="90"/>
      <c r="KE27" s="91"/>
      <c r="KF27" s="92"/>
      <c r="KG27" s="90"/>
      <c r="KH27" s="91"/>
      <c r="KI27" s="92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x14ac:dyDescent="0.2">
      <c r="B28" s="134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47" t="s">
        <v>16</v>
      </c>
      <c r="C29" s="49">
        <f>SUM($C$3,$C$5,$C$7,$C$9,$C$11,$C$13,$C$15,$C$17,$C$19,$C$21,$C$23,$C$25,$C$27)</f>
        <v>360</v>
      </c>
      <c r="D29" s="102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4"/>
      <c r="CP29" s="102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4"/>
      <c r="GB29" s="102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4"/>
      <c r="JN29" s="102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4"/>
    </row>
    <row r="30" spans="2:363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5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7"/>
      <c r="CP30" s="105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6"/>
      <c r="FK30" s="106"/>
      <c r="FL30" s="106"/>
      <c r="FM30" s="106"/>
      <c r="FN30" s="106"/>
      <c r="FO30" s="106"/>
      <c r="FP30" s="106"/>
      <c r="FQ30" s="106"/>
      <c r="FR30" s="106"/>
      <c r="FS30" s="106"/>
      <c r="FT30" s="106"/>
      <c r="FU30" s="106"/>
      <c r="FV30" s="106"/>
      <c r="FW30" s="106"/>
      <c r="FX30" s="106"/>
      <c r="FY30" s="106"/>
      <c r="FZ30" s="106"/>
      <c r="GA30" s="107"/>
      <c r="GB30" s="105"/>
      <c r="GC30" s="106"/>
      <c r="GD30" s="106"/>
      <c r="GE30" s="106"/>
      <c r="GF30" s="106"/>
      <c r="GG30" s="106"/>
      <c r="GH30" s="106"/>
      <c r="GI30" s="106"/>
      <c r="GJ30" s="106"/>
      <c r="GK30" s="106"/>
      <c r="GL30" s="106"/>
      <c r="GM30" s="106"/>
      <c r="GN30" s="106"/>
      <c r="GO30" s="106"/>
      <c r="GP30" s="106"/>
      <c r="GQ30" s="106"/>
      <c r="GR30" s="106"/>
      <c r="GS30" s="106"/>
      <c r="GT30" s="106"/>
      <c r="GU30" s="106"/>
      <c r="GV30" s="106"/>
      <c r="GW30" s="106"/>
      <c r="GX30" s="106"/>
      <c r="GY30" s="106"/>
      <c r="GZ30" s="106"/>
      <c r="HA30" s="106"/>
      <c r="HB30" s="106"/>
      <c r="HC30" s="106"/>
      <c r="HD30" s="106"/>
      <c r="HE30" s="106"/>
      <c r="HF30" s="106"/>
      <c r="HG30" s="106"/>
      <c r="HH30" s="106"/>
      <c r="HI30" s="106"/>
      <c r="HJ30" s="106"/>
      <c r="HK30" s="106"/>
      <c r="HL30" s="106"/>
      <c r="HM30" s="106"/>
      <c r="HN30" s="106"/>
      <c r="HO30" s="106"/>
      <c r="HP30" s="106"/>
      <c r="HQ30" s="106"/>
      <c r="HR30" s="106"/>
      <c r="HS30" s="106"/>
      <c r="HT30" s="106"/>
      <c r="HU30" s="106"/>
      <c r="HV30" s="106"/>
      <c r="HW30" s="106"/>
      <c r="HX30" s="106"/>
      <c r="HY30" s="106"/>
      <c r="HZ30" s="106"/>
      <c r="IA30" s="106"/>
      <c r="IB30" s="106"/>
      <c r="IC30" s="106"/>
      <c r="ID30" s="106"/>
      <c r="IE30" s="106"/>
      <c r="IF30" s="106"/>
      <c r="IG30" s="106"/>
      <c r="IH30" s="106"/>
      <c r="II30" s="106"/>
      <c r="IJ30" s="106"/>
      <c r="IK30" s="106"/>
      <c r="IL30" s="106"/>
      <c r="IM30" s="106"/>
      <c r="IN30" s="106"/>
      <c r="IO30" s="106"/>
      <c r="IP30" s="106"/>
      <c r="IQ30" s="106"/>
      <c r="IR30" s="106"/>
      <c r="IS30" s="106"/>
      <c r="IT30" s="106"/>
      <c r="IU30" s="106"/>
      <c r="IV30" s="106"/>
      <c r="IW30" s="106"/>
      <c r="IX30" s="106"/>
      <c r="IY30" s="106"/>
      <c r="IZ30" s="106"/>
      <c r="JA30" s="106"/>
      <c r="JB30" s="106"/>
      <c r="JC30" s="106"/>
      <c r="JD30" s="106"/>
      <c r="JE30" s="106"/>
      <c r="JF30" s="106"/>
      <c r="JG30" s="106"/>
      <c r="JH30" s="106"/>
      <c r="JI30" s="106"/>
      <c r="JJ30" s="106"/>
      <c r="JK30" s="106"/>
      <c r="JL30" s="106"/>
      <c r="JM30" s="107"/>
      <c r="JN30" s="105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106"/>
      <c r="LK30" s="106"/>
      <c r="LL30" s="106"/>
      <c r="LM30" s="106"/>
      <c r="LN30" s="106"/>
      <c r="LO30" s="106"/>
      <c r="LP30" s="106"/>
      <c r="LQ30" s="106"/>
      <c r="LR30" s="106"/>
      <c r="LS30" s="106"/>
      <c r="LT30" s="106"/>
      <c r="LU30" s="106"/>
      <c r="LV30" s="106"/>
      <c r="LW30" s="106"/>
      <c r="LX30" s="106"/>
      <c r="LY30" s="106"/>
      <c r="LZ30" s="106"/>
      <c r="MA30" s="106"/>
      <c r="MB30" s="106"/>
      <c r="MC30" s="106"/>
      <c r="MD30" s="106"/>
      <c r="ME30" s="106"/>
      <c r="MF30" s="106"/>
      <c r="MG30" s="106"/>
      <c r="MH30" s="106"/>
      <c r="MI30" s="106"/>
      <c r="MJ30" s="106"/>
      <c r="MK30" s="106"/>
      <c r="ML30" s="106"/>
      <c r="MM30" s="106"/>
      <c r="MN30" s="106"/>
      <c r="MO30" s="106"/>
      <c r="MP30" s="106"/>
      <c r="MQ30" s="106"/>
      <c r="MR30" s="106"/>
      <c r="MS30" s="106"/>
      <c r="MT30" s="106"/>
      <c r="MU30" s="106"/>
      <c r="MV30" s="106"/>
      <c r="MW30" s="106"/>
      <c r="MX30" s="106"/>
      <c r="MY30" s="107"/>
    </row>
  </sheetData>
  <sheetProtection insertRows="0" selectLockedCells="1"/>
  <mergeCells count="17">
    <mergeCell ref="JN2:M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D2:CO2"/>
    <mergeCell ref="CP2:GA2"/>
    <mergeCell ref="GB2:JM2"/>
    <mergeCell ref="B23:B24"/>
    <mergeCell ref="B25:B2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8" t="s">
        <v>21</v>
      </c>
      <c r="C3" s="30">
        <v>0</v>
      </c>
    </row>
    <row r="4" spans="1:4" ht="19.5" customHeight="1" x14ac:dyDescent="0.2">
      <c r="A4" s="34"/>
      <c r="B4" s="14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8"/>
  <sheetViews>
    <sheetView view="pageBreakPreview" topLeftCell="A28" zoomScale="130" zoomScaleNormal="100" zoomScaleSheetLayoutView="130" workbookViewId="0">
      <selection activeCell="C17" sqref="C1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 t="s">
        <v>69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43</v>
      </c>
      <c r="D4" s="14"/>
    </row>
    <row r="5" spans="1:4" s="81" customFormat="1" ht="13.5" x14ac:dyDescent="0.2">
      <c r="A5" s="5" t="s">
        <v>21</v>
      </c>
      <c r="B5" s="6">
        <v>3</v>
      </c>
      <c r="C5" s="14" t="s">
        <v>51</v>
      </c>
      <c r="D5" s="14"/>
    </row>
    <row r="6" spans="1:4" s="81" customFormat="1" ht="13.5" x14ac:dyDescent="0.2">
      <c r="A6" s="5" t="s">
        <v>42</v>
      </c>
      <c r="B6" s="6">
        <v>1</v>
      </c>
      <c r="C6" s="14" t="s">
        <v>44</v>
      </c>
      <c r="D6" s="14"/>
    </row>
    <row r="7" spans="1:4" s="81" customFormat="1" ht="27" x14ac:dyDescent="0.2">
      <c r="A7" s="5" t="s">
        <v>34</v>
      </c>
      <c r="B7" s="6">
        <v>5</v>
      </c>
      <c r="C7" s="14" t="s">
        <v>53</v>
      </c>
      <c r="D7" s="14"/>
    </row>
    <row r="8" spans="1:4" s="81" customFormat="1" ht="13.5" x14ac:dyDescent="0.2">
      <c r="A8" s="5"/>
      <c r="B8" s="6"/>
      <c r="C8" s="14" t="s">
        <v>66</v>
      </c>
      <c r="D8" s="14"/>
    </row>
    <row r="9" spans="1:4" s="81" customFormat="1" ht="13.5" x14ac:dyDescent="0.2">
      <c r="A9" s="5" t="s">
        <v>29</v>
      </c>
      <c r="B9" s="6">
        <v>12</v>
      </c>
      <c r="C9" s="14" t="s">
        <v>45</v>
      </c>
      <c r="D9" s="14"/>
    </row>
    <row r="10" spans="1:4" s="81" customFormat="1" ht="13.5" x14ac:dyDescent="0.2">
      <c r="A10" s="6"/>
      <c r="B10" s="6"/>
      <c r="C10" s="14" t="s">
        <v>67</v>
      </c>
      <c r="D10" s="14"/>
    </row>
    <row r="11" spans="1:4" s="81" customFormat="1" ht="13.5" x14ac:dyDescent="0.2">
      <c r="A11" s="6" t="s">
        <v>30</v>
      </c>
      <c r="B11" s="6">
        <v>9</v>
      </c>
      <c r="C11" s="14" t="s">
        <v>46</v>
      </c>
      <c r="D11" s="14"/>
    </row>
    <row r="12" spans="1:4" s="81" customFormat="1" ht="13.5" x14ac:dyDescent="0.2">
      <c r="A12" s="6" t="s">
        <v>31</v>
      </c>
      <c r="B12" s="6">
        <v>12</v>
      </c>
      <c r="C12" s="14" t="s">
        <v>47</v>
      </c>
      <c r="D12" s="14"/>
    </row>
    <row r="13" spans="1:4" s="81" customFormat="1" ht="13.5" x14ac:dyDescent="0.2">
      <c r="A13" s="6" t="s">
        <v>33</v>
      </c>
      <c r="B13" s="6">
        <v>6</v>
      </c>
      <c r="C13" s="14" t="s">
        <v>48</v>
      </c>
      <c r="D13" s="14"/>
    </row>
    <row r="14" spans="1:4" s="81" customFormat="1" ht="13.5" x14ac:dyDescent="0.2">
      <c r="A14" s="6"/>
      <c r="B14" s="6"/>
      <c r="C14" s="14" t="s">
        <v>68</v>
      </c>
      <c r="D14" s="14"/>
    </row>
    <row r="15" spans="1:4" s="81" customFormat="1" ht="13.5" x14ac:dyDescent="0.2">
      <c r="A15" s="6" t="s">
        <v>32</v>
      </c>
      <c r="B15" s="6">
        <v>9</v>
      </c>
      <c r="C15" s="14" t="s">
        <v>49</v>
      </c>
      <c r="D15" s="14"/>
    </row>
    <row r="16" spans="1:4" s="81" customFormat="1" ht="13.5" x14ac:dyDescent="0.2">
      <c r="A16" s="6" t="s">
        <v>33</v>
      </c>
      <c r="B16" s="6">
        <v>9</v>
      </c>
      <c r="C16" s="14" t="s">
        <v>50</v>
      </c>
      <c r="D16" s="14"/>
    </row>
    <row r="17" spans="1:9" s="81" customFormat="1" ht="14.25" thickBot="1" x14ac:dyDescent="0.25">
      <c r="A17" s="6" t="s">
        <v>35</v>
      </c>
      <c r="B17" s="6">
        <v>9</v>
      </c>
      <c r="C17" s="14" t="s">
        <v>52</v>
      </c>
      <c r="D17" s="15"/>
    </row>
    <row r="18" spans="1:9" ht="14.25" thickBot="1" x14ac:dyDescent="0.25">
      <c r="A18" s="16" t="s">
        <v>22</v>
      </c>
      <c r="B18" s="16">
        <f>SUM(B3:B17)</f>
        <v>90</v>
      </c>
      <c r="C18" s="83" t="s">
        <v>36</v>
      </c>
      <c r="D18" s="17"/>
    </row>
    <row r="19" spans="1:9" ht="15" thickBot="1" x14ac:dyDescent="0.35">
      <c r="A19" s="18"/>
      <c r="B19" s="18"/>
      <c r="C19" s="18"/>
      <c r="D19" s="18"/>
    </row>
    <row r="20" spans="1:9" ht="18.75" thickBot="1" x14ac:dyDescent="0.25">
      <c r="A20" s="10" t="s">
        <v>14</v>
      </c>
      <c r="B20" s="11">
        <v>2</v>
      </c>
      <c r="C20" s="31"/>
      <c r="D20" s="33"/>
    </row>
    <row r="21" spans="1:9" ht="27.75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</row>
    <row r="22" spans="1:9" ht="13.5" x14ac:dyDescent="0.2">
      <c r="A22" s="109"/>
      <c r="B22" s="110"/>
      <c r="C22" s="111" t="s">
        <v>65</v>
      </c>
      <c r="D22" s="13"/>
    </row>
    <row r="23" spans="1:9" ht="13.5" x14ac:dyDescent="0.2">
      <c r="A23" s="112" t="s">
        <v>21</v>
      </c>
      <c r="B23" s="113">
        <v>24</v>
      </c>
      <c r="C23" s="114" t="s">
        <v>78</v>
      </c>
      <c r="D23" s="14"/>
    </row>
    <row r="24" spans="1:9" ht="13.5" x14ac:dyDescent="0.2">
      <c r="A24" s="5"/>
      <c r="B24" s="6"/>
      <c r="C24" s="14" t="s">
        <v>66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34</v>
      </c>
      <c r="B25" s="6">
        <v>3</v>
      </c>
      <c r="C25" s="14" t="s">
        <v>55</v>
      </c>
      <c r="D25" s="14"/>
      <c r="E25" s="37"/>
      <c r="F25" s="54"/>
      <c r="G25" s="55"/>
      <c r="H25" s="56"/>
      <c r="I25" s="37"/>
    </row>
    <row r="26" spans="1:9" ht="15" x14ac:dyDescent="0.2">
      <c r="A26" s="6" t="s">
        <v>29</v>
      </c>
      <c r="B26" s="6">
        <v>9</v>
      </c>
      <c r="C26" s="14" t="s">
        <v>56</v>
      </c>
      <c r="D26" s="14"/>
      <c r="E26" s="37"/>
      <c r="F26" s="57"/>
      <c r="G26" s="53"/>
      <c r="H26" s="53"/>
      <c r="I26" s="37"/>
    </row>
    <row r="27" spans="1:9" ht="13.5" x14ac:dyDescent="0.2">
      <c r="A27" s="6"/>
      <c r="B27" s="6"/>
      <c r="C27" s="14" t="s">
        <v>67</v>
      </c>
      <c r="D27" s="14"/>
      <c r="E27" s="37"/>
      <c r="F27" s="59"/>
      <c r="G27" s="60"/>
      <c r="H27" s="60"/>
      <c r="I27" s="37"/>
    </row>
    <row r="28" spans="1:9" ht="13.5" x14ac:dyDescent="0.2">
      <c r="A28" s="6" t="s">
        <v>30</v>
      </c>
      <c r="B28" s="6">
        <v>6</v>
      </c>
      <c r="C28" s="14" t="s">
        <v>57</v>
      </c>
      <c r="D28" s="14"/>
      <c r="E28" s="37"/>
      <c r="F28" s="59"/>
      <c r="G28" s="60"/>
      <c r="H28" s="60"/>
      <c r="I28" s="37"/>
    </row>
    <row r="29" spans="1:9" ht="13.5" x14ac:dyDescent="0.2">
      <c r="A29" s="6" t="s">
        <v>31</v>
      </c>
      <c r="B29" s="6">
        <v>6</v>
      </c>
      <c r="C29" s="14" t="s">
        <v>70</v>
      </c>
      <c r="D29" s="14"/>
      <c r="E29" s="37"/>
      <c r="F29" s="59"/>
      <c r="G29" s="60"/>
      <c r="H29" s="60"/>
      <c r="I29" s="37"/>
    </row>
    <row r="30" spans="1:9" ht="13.5" x14ac:dyDescent="0.2">
      <c r="A30" s="6" t="s">
        <v>33</v>
      </c>
      <c r="B30" s="6">
        <v>3</v>
      </c>
      <c r="C30" s="14" t="s">
        <v>71</v>
      </c>
      <c r="D30" s="14"/>
      <c r="E30" s="37"/>
      <c r="F30" s="59"/>
      <c r="G30" s="60"/>
      <c r="H30" s="60"/>
      <c r="I30" s="37"/>
    </row>
    <row r="31" spans="1:9" ht="13.5" x14ac:dyDescent="0.2">
      <c r="A31" s="6" t="s">
        <v>32</v>
      </c>
      <c r="B31" s="6">
        <v>6</v>
      </c>
      <c r="C31" s="14" t="s">
        <v>72</v>
      </c>
      <c r="D31" s="14"/>
      <c r="E31" s="37"/>
      <c r="F31" s="59"/>
      <c r="G31" s="60"/>
      <c r="H31" s="60"/>
      <c r="I31" s="37"/>
    </row>
    <row r="32" spans="1:9" ht="13.5" x14ac:dyDescent="0.2">
      <c r="A32" s="6" t="s">
        <v>33</v>
      </c>
      <c r="B32" s="6">
        <v>3</v>
      </c>
      <c r="C32" s="14" t="s">
        <v>73</v>
      </c>
      <c r="D32" s="14"/>
      <c r="E32" s="37"/>
      <c r="F32" s="59"/>
      <c r="G32" s="60"/>
      <c r="H32" s="60"/>
      <c r="I32" s="37"/>
    </row>
    <row r="33" spans="1:9" ht="13.5" x14ac:dyDescent="0.2">
      <c r="A33" s="6" t="s">
        <v>35</v>
      </c>
      <c r="B33" s="6">
        <v>3</v>
      </c>
      <c r="C33" s="14" t="s">
        <v>79</v>
      </c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 t="s">
        <v>68</v>
      </c>
      <c r="D34" s="14"/>
      <c r="E34" s="37"/>
      <c r="F34" s="59"/>
      <c r="G34" s="60"/>
      <c r="H34" s="60"/>
      <c r="I34" s="37"/>
    </row>
    <row r="35" spans="1:9" ht="27" x14ac:dyDescent="0.2">
      <c r="A35" s="6" t="s">
        <v>34</v>
      </c>
      <c r="B35" s="6">
        <v>3</v>
      </c>
      <c r="C35" s="14" t="s">
        <v>74</v>
      </c>
      <c r="D35" s="14"/>
      <c r="E35" s="37"/>
      <c r="F35" s="59"/>
      <c r="G35" s="60"/>
      <c r="H35" s="60"/>
      <c r="I35" s="37"/>
    </row>
    <row r="36" spans="1:9" ht="13.5" x14ac:dyDescent="0.2">
      <c r="A36" s="6" t="s">
        <v>29</v>
      </c>
      <c r="B36" s="6">
        <v>9</v>
      </c>
      <c r="C36" s="14" t="s">
        <v>75</v>
      </c>
      <c r="D36" s="14"/>
      <c r="E36" s="37"/>
      <c r="F36" s="59"/>
      <c r="G36" s="60"/>
      <c r="H36" s="60"/>
      <c r="I36" s="37"/>
    </row>
    <row r="37" spans="1:9" ht="13.5" x14ac:dyDescent="0.2">
      <c r="A37" s="6" t="s">
        <v>30</v>
      </c>
      <c r="B37" s="6">
        <v>6</v>
      </c>
      <c r="C37" s="14" t="s">
        <v>76</v>
      </c>
      <c r="D37" s="14"/>
      <c r="E37" s="37"/>
      <c r="F37" s="59"/>
      <c r="G37" s="60"/>
      <c r="H37" s="60"/>
      <c r="I37" s="37"/>
    </row>
    <row r="38" spans="1:9" ht="13.5" x14ac:dyDescent="0.2">
      <c r="A38" s="6" t="s">
        <v>31</v>
      </c>
      <c r="B38" s="6">
        <v>6</v>
      </c>
      <c r="C38" s="14" t="s">
        <v>77</v>
      </c>
      <c r="D38" s="14"/>
      <c r="E38" s="37"/>
      <c r="F38" s="59"/>
      <c r="G38" s="60"/>
      <c r="H38" s="60"/>
      <c r="I38" s="37"/>
    </row>
    <row r="39" spans="1:9" ht="14.25" thickBot="1" x14ac:dyDescent="0.25">
      <c r="A39" s="7" t="s">
        <v>33</v>
      </c>
      <c r="B39" s="7">
        <v>3</v>
      </c>
      <c r="C39" s="15" t="s">
        <v>71</v>
      </c>
      <c r="D39" s="15"/>
      <c r="E39" s="37"/>
      <c r="F39" s="59"/>
      <c r="G39" s="60"/>
      <c r="H39" s="60"/>
      <c r="I39" s="37"/>
    </row>
    <row r="40" spans="1:9" ht="14.25" thickBot="1" x14ac:dyDescent="0.25">
      <c r="A40" s="16" t="s">
        <v>22</v>
      </c>
      <c r="B40" s="16">
        <f>SUM(B22:B39)</f>
        <v>90</v>
      </c>
      <c r="C40" s="83" t="s">
        <v>36</v>
      </c>
      <c r="D40" s="17"/>
      <c r="E40" s="37"/>
      <c r="F40" s="59"/>
      <c r="G40" s="60"/>
      <c r="H40" s="60"/>
      <c r="I40" s="37"/>
    </row>
    <row r="41" spans="1:9" ht="15" thickBot="1" x14ac:dyDescent="0.35">
      <c r="A41" s="18"/>
      <c r="B41" s="18"/>
      <c r="C41" s="18"/>
      <c r="D41" s="18"/>
      <c r="E41" s="37"/>
      <c r="F41" s="59"/>
      <c r="G41" s="60"/>
      <c r="H41" s="60"/>
      <c r="I41" s="37"/>
    </row>
    <row r="42" spans="1:9" ht="18.75" thickBot="1" x14ac:dyDescent="0.25">
      <c r="A42" s="10" t="s">
        <v>14</v>
      </c>
      <c r="B42" s="11">
        <v>3</v>
      </c>
      <c r="C42" s="31"/>
      <c r="D42" s="33"/>
      <c r="E42" s="37"/>
      <c r="F42" s="59"/>
      <c r="G42" s="60"/>
      <c r="H42" s="60"/>
      <c r="I42" s="37"/>
    </row>
    <row r="43" spans="1:9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  <c r="E43" s="37"/>
      <c r="F43" s="59"/>
      <c r="G43" s="60"/>
      <c r="H43" s="60"/>
      <c r="I43" s="37"/>
    </row>
    <row r="44" spans="1:9" ht="13.5" x14ac:dyDescent="0.2">
      <c r="A44" s="9"/>
      <c r="B44" s="8"/>
      <c r="C44" s="13" t="s">
        <v>65</v>
      </c>
      <c r="D44" s="13"/>
      <c r="E44" s="37"/>
      <c r="F44" s="59"/>
      <c r="G44" s="60"/>
      <c r="H44" s="60"/>
      <c r="I44" s="37"/>
    </row>
    <row r="45" spans="1:9" ht="13.5" x14ac:dyDescent="0.2">
      <c r="A45" s="5" t="s">
        <v>32</v>
      </c>
      <c r="B45" s="6">
        <v>6</v>
      </c>
      <c r="C45" s="14" t="s">
        <v>80</v>
      </c>
      <c r="D45" s="14"/>
      <c r="E45" s="37"/>
      <c r="F45" s="61"/>
      <c r="G45" s="62"/>
      <c r="H45" s="62"/>
      <c r="I45" s="37"/>
    </row>
    <row r="46" spans="1:9" ht="14.25" x14ac:dyDescent="0.3">
      <c r="A46" s="5" t="s">
        <v>33</v>
      </c>
      <c r="B46" s="6">
        <v>3</v>
      </c>
      <c r="C46" s="14" t="s">
        <v>81</v>
      </c>
      <c r="D46" s="14"/>
      <c r="E46" s="37"/>
      <c r="F46" s="63"/>
      <c r="G46" s="63"/>
      <c r="H46" s="63"/>
      <c r="I46" s="37"/>
    </row>
    <row r="47" spans="1:9" ht="13.5" x14ac:dyDescent="0.2">
      <c r="A47" s="5" t="s">
        <v>35</v>
      </c>
      <c r="B47" s="6">
        <v>3</v>
      </c>
      <c r="C47" s="14"/>
      <c r="D47" s="14"/>
      <c r="E47" s="37"/>
      <c r="F47" s="37"/>
      <c r="G47" s="37"/>
      <c r="H47" s="37"/>
      <c r="I47" s="37"/>
    </row>
    <row r="48" spans="1:9" ht="27" x14ac:dyDescent="0.2">
      <c r="A48" s="5" t="s">
        <v>34</v>
      </c>
      <c r="B48" s="6">
        <v>3</v>
      </c>
      <c r="C48" s="14" t="s">
        <v>84</v>
      </c>
      <c r="D48" s="14"/>
      <c r="E48" s="37"/>
      <c r="F48" s="37"/>
      <c r="G48" s="37"/>
      <c r="H48" s="37"/>
      <c r="I48" s="37"/>
    </row>
    <row r="49" spans="1:9" ht="13.5" x14ac:dyDescent="0.2">
      <c r="A49" s="5" t="s">
        <v>29</v>
      </c>
      <c r="B49" s="6">
        <v>6</v>
      </c>
      <c r="C49" s="14" t="s">
        <v>83</v>
      </c>
      <c r="D49" s="14"/>
      <c r="E49" s="37"/>
      <c r="F49" s="37"/>
      <c r="G49" s="37"/>
      <c r="H49" s="37"/>
      <c r="I49" s="37"/>
    </row>
    <row r="50" spans="1:9" ht="13.5" x14ac:dyDescent="0.2">
      <c r="A50" s="6" t="s">
        <v>30</v>
      </c>
      <c r="B50" s="6">
        <v>3</v>
      </c>
      <c r="C50" s="14" t="s">
        <v>82</v>
      </c>
      <c r="D50" s="14"/>
    </row>
    <row r="51" spans="1:9" ht="13.5" x14ac:dyDescent="0.2">
      <c r="A51" s="6"/>
      <c r="B51" s="6"/>
      <c r="C51" s="14" t="s">
        <v>66</v>
      </c>
      <c r="D51" s="14"/>
    </row>
    <row r="52" spans="1:9" ht="13.5" x14ac:dyDescent="0.25">
      <c r="A52" s="6" t="s">
        <v>31</v>
      </c>
      <c r="B52" s="6">
        <v>6</v>
      </c>
      <c r="C52" s="115" t="s">
        <v>85</v>
      </c>
      <c r="D52" s="14"/>
    </row>
    <row r="53" spans="1:9" ht="13.5" x14ac:dyDescent="0.2">
      <c r="A53" s="6" t="s">
        <v>33</v>
      </c>
      <c r="B53" s="6">
        <v>6</v>
      </c>
      <c r="C53" s="14" t="s">
        <v>86</v>
      </c>
      <c r="D53" s="14"/>
    </row>
    <row r="54" spans="1:9" ht="13.5" x14ac:dyDescent="0.2">
      <c r="A54" s="6"/>
      <c r="B54" s="6"/>
      <c r="C54" s="14" t="s">
        <v>67</v>
      </c>
      <c r="D54" s="14"/>
    </row>
    <row r="55" spans="1:9" ht="13.5" x14ac:dyDescent="0.2">
      <c r="A55" s="6" t="s">
        <v>32</v>
      </c>
      <c r="B55" s="6">
        <v>9</v>
      </c>
      <c r="C55" s="14" t="s">
        <v>87</v>
      </c>
      <c r="D55" s="14"/>
    </row>
    <row r="56" spans="1:9" ht="13.5" x14ac:dyDescent="0.2">
      <c r="A56" s="6" t="s">
        <v>33</v>
      </c>
      <c r="B56" s="6">
        <v>6</v>
      </c>
      <c r="C56" s="14" t="s">
        <v>81</v>
      </c>
      <c r="D56" s="14"/>
    </row>
    <row r="57" spans="1:9" ht="13.5" x14ac:dyDescent="0.2">
      <c r="A57" s="6" t="s">
        <v>35</v>
      </c>
      <c r="B57" s="6">
        <v>12</v>
      </c>
      <c r="C57" s="14"/>
      <c r="D57" s="14"/>
    </row>
    <row r="58" spans="1:9" ht="13.5" x14ac:dyDescent="0.2">
      <c r="A58" s="6"/>
      <c r="B58" s="6"/>
      <c r="C58" s="14" t="s">
        <v>68</v>
      </c>
      <c r="D58" s="14"/>
    </row>
    <row r="59" spans="1:9" ht="13.5" x14ac:dyDescent="0.2">
      <c r="A59" s="6" t="s">
        <v>32</v>
      </c>
      <c r="B59" s="6">
        <v>9</v>
      </c>
      <c r="C59" s="14" t="s">
        <v>88</v>
      </c>
      <c r="D59" s="14"/>
    </row>
    <row r="60" spans="1:9" ht="13.5" x14ac:dyDescent="0.2">
      <c r="A60" s="6" t="s">
        <v>33</v>
      </c>
      <c r="B60" s="6">
        <v>6</v>
      </c>
      <c r="C60" s="14" t="s">
        <v>89</v>
      </c>
      <c r="D60" s="14"/>
    </row>
    <row r="61" spans="1:9" ht="27" x14ac:dyDescent="0.2">
      <c r="A61" s="6" t="s">
        <v>90</v>
      </c>
      <c r="B61" s="6">
        <v>6</v>
      </c>
      <c r="C61" s="14" t="s">
        <v>91</v>
      </c>
      <c r="D61" s="14"/>
    </row>
    <row r="62" spans="1:9" ht="14.25" thickBot="1" x14ac:dyDescent="0.25">
      <c r="A62" s="7" t="s">
        <v>35</v>
      </c>
      <c r="B62" s="7">
        <v>6</v>
      </c>
      <c r="C62" s="15" t="s">
        <v>92</v>
      </c>
      <c r="D62" s="15"/>
    </row>
    <row r="63" spans="1:9" ht="14.25" thickBot="1" x14ac:dyDescent="0.25">
      <c r="A63" s="16" t="s">
        <v>22</v>
      </c>
      <c r="B63" s="16">
        <f>SUM(B44:B62)</f>
        <v>90</v>
      </c>
      <c r="C63" s="83" t="s">
        <v>36</v>
      </c>
      <c r="D63" s="17"/>
    </row>
    <row r="64" spans="1:9" ht="15" thickBot="1" x14ac:dyDescent="0.35">
      <c r="A64" s="18"/>
      <c r="B64" s="18"/>
      <c r="C64" s="18"/>
      <c r="D64" s="18"/>
    </row>
    <row r="65" spans="1:4" ht="18.75" thickBot="1" x14ac:dyDescent="0.25">
      <c r="A65" s="10" t="s">
        <v>14</v>
      </c>
      <c r="B65" s="11">
        <v>4</v>
      </c>
      <c r="C65" s="31"/>
      <c r="D65" s="33"/>
    </row>
    <row r="66" spans="1:4" ht="27.75" thickBot="1" x14ac:dyDescent="0.25">
      <c r="A66" s="116" t="s">
        <v>3</v>
      </c>
      <c r="B66" s="117" t="s">
        <v>15</v>
      </c>
      <c r="C66" s="116" t="s">
        <v>7</v>
      </c>
      <c r="D66" s="12" t="s">
        <v>13</v>
      </c>
    </row>
    <row r="67" spans="1:4" ht="13.5" x14ac:dyDescent="0.2">
      <c r="A67" s="121"/>
      <c r="B67" s="122"/>
      <c r="C67" s="123" t="s">
        <v>65</v>
      </c>
      <c r="D67" s="13"/>
    </row>
    <row r="68" spans="1:4" ht="13.5" x14ac:dyDescent="0.2">
      <c r="A68" s="118" t="s">
        <v>21</v>
      </c>
      <c r="B68" s="119">
        <v>24</v>
      </c>
      <c r="C68" s="120" t="s">
        <v>54</v>
      </c>
      <c r="D68" s="14"/>
    </row>
    <row r="69" spans="1:4" ht="13.5" x14ac:dyDescent="0.2">
      <c r="A69" s="5"/>
      <c r="B69" s="6"/>
      <c r="C69" s="14" t="s">
        <v>66</v>
      </c>
      <c r="D69" s="14"/>
    </row>
    <row r="70" spans="1:4" ht="13.5" x14ac:dyDescent="0.2">
      <c r="A70" s="5" t="s">
        <v>30</v>
      </c>
      <c r="B70" s="6">
        <v>12</v>
      </c>
      <c r="C70" s="14" t="s">
        <v>93</v>
      </c>
      <c r="D70" s="14"/>
    </row>
    <row r="71" spans="1:4" ht="13.5" x14ac:dyDescent="0.2">
      <c r="A71" s="5"/>
      <c r="B71" s="6"/>
      <c r="C71" s="14" t="s">
        <v>67</v>
      </c>
      <c r="D71" s="14"/>
    </row>
    <row r="72" spans="1:4" ht="13.5" x14ac:dyDescent="0.2">
      <c r="A72" s="5" t="s">
        <v>94</v>
      </c>
      <c r="B72" s="6">
        <v>27</v>
      </c>
      <c r="C72" s="14" t="s">
        <v>95</v>
      </c>
      <c r="D72" s="14"/>
    </row>
    <row r="73" spans="1:4" ht="13.5" x14ac:dyDescent="0.2">
      <c r="A73" s="6"/>
      <c r="B73" s="6"/>
      <c r="C73" s="14" t="s">
        <v>68</v>
      </c>
      <c r="D73" s="14"/>
    </row>
    <row r="74" spans="1:4" ht="13.5" x14ac:dyDescent="0.2">
      <c r="A74" s="6" t="s">
        <v>21</v>
      </c>
      <c r="B74" s="6">
        <v>15</v>
      </c>
      <c r="C74" s="14" t="s">
        <v>96</v>
      </c>
      <c r="D74" s="14"/>
    </row>
    <row r="75" spans="1:4" ht="27" thickBot="1" x14ac:dyDescent="0.25">
      <c r="A75" s="7" t="s">
        <v>21</v>
      </c>
      <c r="B75" s="7">
        <v>12</v>
      </c>
      <c r="C75" s="124" t="s">
        <v>97</v>
      </c>
      <c r="D75" s="15"/>
    </row>
    <row r="76" spans="1:4" ht="14.25" thickBot="1" x14ac:dyDescent="0.25">
      <c r="A76" s="16" t="s">
        <v>22</v>
      </c>
      <c r="B76" s="16">
        <f>SUM(B67:B75)</f>
        <v>90</v>
      </c>
      <c r="C76" s="83" t="s">
        <v>36</v>
      </c>
      <c r="D76" s="17"/>
    </row>
    <row r="77" spans="1:4" ht="14.25" x14ac:dyDescent="0.3">
      <c r="A77" s="18"/>
      <c r="B77" s="18"/>
      <c r="C77" s="18"/>
      <c r="D77" s="18"/>
    </row>
    <row r="78" spans="1:4" x14ac:dyDescent="0.2">
      <c r="A78" s="84" t="s">
        <v>37</v>
      </c>
    </row>
  </sheetData>
  <sheetProtection insertRows="0" selectLockedCells="1"/>
  <dataValidations count="4">
    <dataValidation type="list" allowBlank="1" showInputMessage="1" showErrorMessage="1" sqref="A3:A17 A22:A39 A44:A62 A67:A7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40 B63 B7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7 F27:F44 B22:B39 B44:B62 B67:B75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93"/>
  <sheetViews>
    <sheetView tabSelected="1" view="pageBreakPreview" topLeftCell="A19" zoomScale="115" zoomScaleNormal="100" zoomScaleSheetLayoutView="115" workbookViewId="0">
      <selection activeCell="D29" sqref="D2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 t="s">
        <v>65</v>
      </c>
      <c r="D3" s="13"/>
    </row>
    <row r="4" spans="1:4" s="81" customFormat="1" ht="13.5" x14ac:dyDescent="0.2">
      <c r="A4" s="5" t="s">
        <v>28</v>
      </c>
      <c r="B4" s="6">
        <v>13</v>
      </c>
      <c r="C4" s="14" t="s">
        <v>58</v>
      </c>
      <c r="D4" s="108" t="s">
        <v>60</v>
      </c>
    </row>
    <row r="5" spans="1:4" s="81" customFormat="1" ht="13.5" x14ac:dyDescent="0.2">
      <c r="A5" s="5" t="s">
        <v>21</v>
      </c>
      <c r="B5" s="6">
        <v>2</v>
      </c>
      <c r="C5" s="14" t="s">
        <v>51</v>
      </c>
      <c r="D5" s="108"/>
    </row>
    <row r="6" spans="1:4" s="81" customFormat="1" ht="13.5" x14ac:dyDescent="0.2">
      <c r="A6" s="5" t="s">
        <v>42</v>
      </c>
      <c r="B6" s="6">
        <v>1</v>
      </c>
      <c r="C6" s="14" t="s">
        <v>59</v>
      </c>
      <c r="D6" s="108" t="s">
        <v>61</v>
      </c>
    </row>
    <row r="7" spans="1:4" s="81" customFormat="1" ht="13.5" x14ac:dyDescent="0.2">
      <c r="A7" s="5" t="s">
        <v>28</v>
      </c>
      <c r="B7" s="6">
        <v>7</v>
      </c>
      <c r="C7" s="14" t="s">
        <v>62</v>
      </c>
      <c r="D7" s="14" t="s">
        <v>63</v>
      </c>
    </row>
    <row r="8" spans="1:4" s="81" customFormat="1" ht="13.5" x14ac:dyDescent="0.2">
      <c r="A8" s="5" t="s">
        <v>28</v>
      </c>
      <c r="B8" s="6">
        <v>1</v>
      </c>
      <c r="C8" s="14" t="s">
        <v>64</v>
      </c>
      <c r="D8" s="14"/>
    </row>
    <row r="9" spans="1:4" s="81" customFormat="1" ht="13.5" x14ac:dyDescent="0.2">
      <c r="A9" s="5"/>
      <c r="B9" s="6"/>
      <c r="C9" s="14" t="s">
        <v>66</v>
      </c>
      <c r="D9" s="14"/>
    </row>
    <row r="10" spans="1:4" s="81" customFormat="1" ht="13.5" x14ac:dyDescent="0.2">
      <c r="A10" s="5" t="s">
        <v>28</v>
      </c>
      <c r="B10" s="6">
        <v>4</v>
      </c>
      <c r="C10" s="14" t="s">
        <v>98</v>
      </c>
      <c r="D10" s="14"/>
    </row>
    <row r="11" spans="1:4" s="81" customFormat="1" ht="13.5" x14ac:dyDescent="0.2">
      <c r="A11" s="5" t="s">
        <v>29</v>
      </c>
      <c r="B11" s="6">
        <v>2</v>
      </c>
      <c r="C11" s="14" t="s">
        <v>99</v>
      </c>
      <c r="D11" s="108" t="s">
        <v>101</v>
      </c>
    </row>
    <row r="12" spans="1:4" s="81" customFormat="1" ht="25.5" x14ac:dyDescent="0.2">
      <c r="A12" s="6" t="s">
        <v>100</v>
      </c>
      <c r="B12" s="6">
        <v>5</v>
      </c>
      <c r="C12" s="14" t="s">
        <v>102</v>
      </c>
      <c r="D12" s="108" t="s">
        <v>122</v>
      </c>
    </row>
    <row r="13" spans="1:4" s="81" customFormat="1" ht="13.5" x14ac:dyDescent="0.2">
      <c r="A13" s="6" t="s">
        <v>28</v>
      </c>
      <c r="B13" s="6">
        <v>1</v>
      </c>
      <c r="C13" s="14" t="s">
        <v>64</v>
      </c>
      <c r="D13" s="14"/>
    </row>
    <row r="14" spans="1:4" s="81" customFormat="1" ht="13.5" x14ac:dyDescent="0.2">
      <c r="A14" s="6"/>
      <c r="B14" s="6"/>
      <c r="C14" s="14" t="s">
        <v>67</v>
      </c>
      <c r="D14" s="14"/>
    </row>
    <row r="15" spans="1:4" s="81" customFormat="1" ht="25.5" x14ac:dyDescent="0.2">
      <c r="A15" s="79" t="s">
        <v>100</v>
      </c>
      <c r="B15" s="79">
        <v>3</v>
      </c>
      <c r="C15" s="80" t="s">
        <v>103</v>
      </c>
      <c r="D15" s="108" t="s">
        <v>122</v>
      </c>
    </row>
    <row r="16" spans="1:4" s="81" customFormat="1" ht="13.5" x14ac:dyDescent="0.2">
      <c r="A16" s="79" t="s">
        <v>29</v>
      </c>
      <c r="B16" s="79">
        <v>3</v>
      </c>
      <c r="C16" s="80" t="s">
        <v>106</v>
      </c>
      <c r="D16" s="108" t="s">
        <v>101</v>
      </c>
    </row>
    <row r="17" spans="1:4" s="81" customFormat="1" ht="27" x14ac:dyDescent="0.2">
      <c r="A17" s="79" t="s">
        <v>100</v>
      </c>
      <c r="B17" s="79">
        <v>1</v>
      </c>
      <c r="C17" s="80" t="s">
        <v>105</v>
      </c>
      <c r="D17" s="108" t="s">
        <v>122</v>
      </c>
    </row>
    <row r="18" spans="1:4" s="81" customFormat="1" ht="13.5" x14ac:dyDescent="0.2">
      <c r="A18" s="79" t="s">
        <v>29</v>
      </c>
      <c r="B18" s="79">
        <v>1</v>
      </c>
      <c r="C18" s="80" t="s">
        <v>104</v>
      </c>
      <c r="D18" s="108" t="s">
        <v>101</v>
      </c>
    </row>
    <row r="19" spans="1:4" s="81" customFormat="1" ht="13.5" x14ac:dyDescent="0.2">
      <c r="A19" s="79" t="s">
        <v>30</v>
      </c>
      <c r="B19" s="79">
        <v>4</v>
      </c>
      <c r="C19" s="80" t="s">
        <v>107</v>
      </c>
      <c r="D19" s="130" t="s">
        <v>108</v>
      </c>
    </row>
    <row r="20" spans="1:4" s="81" customFormat="1" ht="13.5" x14ac:dyDescent="0.2">
      <c r="A20" s="79" t="s">
        <v>31</v>
      </c>
      <c r="B20" s="79">
        <v>2</v>
      </c>
      <c r="C20" s="80" t="s">
        <v>109</v>
      </c>
      <c r="D20" s="130" t="s">
        <v>119</v>
      </c>
    </row>
    <row r="21" spans="1:4" s="81" customFormat="1" ht="13.5" x14ac:dyDescent="0.2">
      <c r="A21" s="79" t="s">
        <v>28</v>
      </c>
      <c r="B21" s="79">
        <v>1</v>
      </c>
      <c r="C21" s="80" t="s">
        <v>64</v>
      </c>
      <c r="D21" s="130"/>
    </row>
    <row r="22" spans="1:4" s="81" customFormat="1" ht="13.5" x14ac:dyDescent="0.2">
      <c r="A22" s="79" t="s">
        <v>32</v>
      </c>
      <c r="B22" s="79">
        <v>2</v>
      </c>
      <c r="C22" s="80" t="s">
        <v>110</v>
      </c>
      <c r="D22" s="130" t="s">
        <v>111</v>
      </c>
    </row>
    <row r="23" spans="1:4" s="81" customFormat="1" ht="13.5" x14ac:dyDescent="0.2">
      <c r="A23" s="79" t="s">
        <v>100</v>
      </c>
      <c r="B23" s="79">
        <v>9</v>
      </c>
      <c r="C23" s="80" t="s">
        <v>112</v>
      </c>
      <c r="D23" s="130" t="s">
        <v>123</v>
      </c>
    </row>
    <row r="24" spans="1:4" s="81" customFormat="1" ht="13.5" x14ac:dyDescent="0.2">
      <c r="A24" s="79" t="s">
        <v>28</v>
      </c>
      <c r="B24" s="79">
        <v>1</v>
      </c>
      <c r="C24" s="80" t="s">
        <v>64</v>
      </c>
      <c r="D24" s="130"/>
    </row>
    <row r="25" spans="1:4" s="81" customFormat="1" ht="13.5" x14ac:dyDescent="0.2">
      <c r="A25" s="79"/>
      <c r="B25" s="79"/>
      <c r="C25" s="80" t="s">
        <v>68</v>
      </c>
      <c r="D25" s="130"/>
    </row>
    <row r="26" spans="1:4" s="81" customFormat="1" ht="13.5" x14ac:dyDescent="0.2">
      <c r="A26" s="79" t="s">
        <v>100</v>
      </c>
      <c r="B26" s="79">
        <v>2</v>
      </c>
      <c r="C26" s="80" t="s">
        <v>113</v>
      </c>
      <c r="D26" s="130" t="s">
        <v>123</v>
      </c>
    </row>
    <row r="27" spans="1:4" s="81" customFormat="1" ht="13.5" x14ac:dyDescent="0.2">
      <c r="A27" s="79" t="s">
        <v>32</v>
      </c>
      <c r="B27" s="79">
        <v>1</v>
      </c>
      <c r="C27" s="80" t="s">
        <v>114</v>
      </c>
      <c r="D27" s="130" t="s">
        <v>111</v>
      </c>
    </row>
    <row r="28" spans="1:4" s="81" customFormat="1" ht="27" x14ac:dyDescent="0.2">
      <c r="A28" s="79" t="s">
        <v>30</v>
      </c>
      <c r="B28" s="79">
        <v>2</v>
      </c>
      <c r="C28" s="80" t="s">
        <v>115</v>
      </c>
      <c r="D28" s="130" t="s">
        <v>108</v>
      </c>
    </row>
    <row r="29" spans="1:4" s="81" customFormat="1" ht="40.5" x14ac:dyDescent="0.2">
      <c r="A29" s="79" t="s">
        <v>31</v>
      </c>
      <c r="B29" s="79">
        <v>2</v>
      </c>
      <c r="C29" s="80" t="s">
        <v>116</v>
      </c>
      <c r="D29" s="130" t="s">
        <v>119</v>
      </c>
    </row>
    <row r="30" spans="1:4" s="81" customFormat="1" ht="13.5" x14ac:dyDescent="0.2">
      <c r="A30" s="79" t="s">
        <v>100</v>
      </c>
      <c r="B30" s="79">
        <v>7</v>
      </c>
      <c r="C30" s="80" t="s">
        <v>118</v>
      </c>
      <c r="D30" s="130" t="s">
        <v>117</v>
      </c>
    </row>
    <row r="31" spans="1:4" s="81" customFormat="1" ht="13.5" x14ac:dyDescent="0.2">
      <c r="A31" s="79" t="s">
        <v>28</v>
      </c>
      <c r="B31" s="79">
        <v>1</v>
      </c>
      <c r="C31" s="80" t="s">
        <v>64</v>
      </c>
      <c r="D31" s="130"/>
    </row>
    <row r="32" spans="1:4" s="81" customFormat="1" ht="27" x14ac:dyDescent="0.2">
      <c r="A32" s="79" t="s">
        <v>100</v>
      </c>
      <c r="B32" s="79">
        <v>11</v>
      </c>
      <c r="C32" s="80" t="s">
        <v>120</v>
      </c>
      <c r="D32" s="130" t="s">
        <v>121</v>
      </c>
    </row>
    <row r="33" spans="1:9" s="81" customFormat="1" ht="14.25" thickBot="1" x14ac:dyDescent="0.25">
      <c r="A33" s="7" t="s">
        <v>28</v>
      </c>
      <c r="B33" s="7">
        <v>1</v>
      </c>
      <c r="C33" s="15" t="s">
        <v>64</v>
      </c>
      <c r="D33" s="15"/>
    </row>
    <row r="34" spans="1:9" ht="14.25" thickBot="1" x14ac:dyDescent="0.25">
      <c r="A34" s="76" t="s">
        <v>22</v>
      </c>
      <c r="B34" s="76">
        <f>SUM(B3:B33)</f>
        <v>90</v>
      </c>
      <c r="C34" s="85" t="s">
        <v>36</v>
      </c>
      <c r="D34" s="77"/>
    </row>
    <row r="35" spans="1:9" ht="15" thickBot="1" x14ac:dyDescent="0.35">
      <c r="A35" s="78"/>
      <c r="B35" s="78"/>
      <c r="C35" s="78"/>
      <c r="D35" s="78"/>
    </row>
    <row r="36" spans="1:9" ht="18.75" thickBot="1" x14ac:dyDescent="0.25">
      <c r="A36" s="71" t="s">
        <v>14</v>
      </c>
      <c r="B36" s="72">
        <v>2</v>
      </c>
      <c r="C36" s="73" t="s">
        <v>23</v>
      </c>
      <c r="D36" s="82">
        <v>42891</v>
      </c>
    </row>
    <row r="37" spans="1:9" ht="27.75" thickBot="1" x14ac:dyDescent="0.25">
      <c r="A37" s="74" t="s">
        <v>3</v>
      </c>
      <c r="B37" s="75" t="s">
        <v>15</v>
      </c>
      <c r="C37" s="74" t="s">
        <v>7</v>
      </c>
      <c r="D37" s="74" t="s">
        <v>13</v>
      </c>
    </row>
    <row r="38" spans="1:9" ht="13.5" x14ac:dyDescent="0.2">
      <c r="A38" s="9"/>
      <c r="B38" s="8"/>
      <c r="C38" s="13"/>
      <c r="D38" s="13"/>
    </row>
    <row r="39" spans="1:9" ht="13.5" x14ac:dyDescent="0.2">
      <c r="A39" s="5"/>
      <c r="B39" s="6"/>
      <c r="C39" s="14"/>
      <c r="D39" s="14"/>
    </row>
    <row r="40" spans="1:9" ht="13.5" x14ac:dyDescent="0.2">
      <c r="A40" s="5"/>
      <c r="B40" s="6"/>
      <c r="C40" s="14"/>
      <c r="D40" s="14"/>
      <c r="E40" s="37"/>
      <c r="F40" s="37"/>
      <c r="G40" s="37"/>
      <c r="H40" s="37"/>
      <c r="I40" s="37"/>
    </row>
    <row r="41" spans="1:9" ht="12.75" customHeight="1" x14ac:dyDescent="0.2">
      <c r="A41" s="5"/>
      <c r="B41" s="6"/>
      <c r="C41" s="14"/>
      <c r="D41" s="14"/>
      <c r="E41" s="37"/>
      <c r="F41" s="54"/>
      <c r="G41" s="55"/>
      <c r="H41" s="56"/>
      <c r="I41" s="37"/>
    </row>
    <row r="42" spans="1:9" ht="15" x14ac:dyDescent="0.2">
      <c r="A42" s="5"/>
      <c r="B42" s="6"/>
      <c r="C42" s="14"/>
      <c r="D42" s="14"/>
      <c r="E42" s="37"/>
      <c r="F42" s="57"/>
      <c r="G42" s="53"/>
      <c r="H42" s="53"/>
      <c r="I42" s="37"/>
    </row>
    <row r="43" spans="1:9" ht="13.5" x14ac:dyDescent="0.2">
      <c r="A43" s="5"/>
      <c r="B43" s="6"/>
      <c r="C43" s="14"/>
      <c r="D43" s="14"/>
      <c r="E43" s="37"/>
      <c r="F43" s="59"/>
      <c r="G43" s="60"/>
      <c r="H43" s="60"/>
      <c r="I43" s="37"/>
    </row>
    <row r="44" spans="1:9" ht="13.5" x14ac:dyDescent="0.2">
      <c r="A44" s="5"/>
      <c r="B44" s="6"/>
      <c r="C44" s="14"/>
      <c r="D44" s="14"/>
      <c r="E44" s="37"/>
      <c r="F44" s="59"/>
      <c r="G44" s="60"/>
      <c r="H44" s="60"/>
      <c r="I44" s="37"/>
    </row>
    <row r="45" spans="1:9" ht="13.5" x14ac:dyDescent="0.2">
      <c r="A45" s="5"/>
      <c r="B45" s="6"/>
      <c r="C45" s="14"/>
      <c r="D45" s="14"/>
      <c r="E45" s="37"/>
      <c r="F45" s="59"/>
      <c r="G45" s="60"/>
      <c r="H45" s="60"/>
      <c r="I45" s="37"/>
    </row>
    <row r="46" spans="1:9" ht="13.5" x14ac:dyDescent="0.2">
      <c r="A46" s="5"/>
      <c r="B46" s="6"/>
      <c r="C46" s="14"/>
      <c r="D46" s="14"/>
      <c r="E46" s="37"/>
      <c r="F46" s="59"/>
      <c r="G46" s="60"/>
      <c r="H46" s="60"/>
      <c r="I46" s="37"/>
    </row>
    <row r="47" spans="1:9" ht="13.5" x14ac:dyDescent="0.2">
      <c r="A47" s="6"/>
      <c r="B47" s="6"/>
      <c r="C47" s="14"/>
      <c r="D47" s="14"/>
      <c r="E47" s="37"/>
      <c r="F47" s="59"/>
      <c r="G47" s="60"/>
      <c r="H47" s="60"/>
      <c r="I47" s="37"/>
    </row>
    <row r="48" spans="1:9" ht="13.5" x14ac:dyDescent="0.2">
      <c r="A48" s="6"/>
      <c r="B48" s="6"/>
      <c r="C48" s="14"/>
      <c r="D48" s="14"/>
      <c r="E48" s="37"/>
      <c r="F48" s="59"/>
      <c r="G48" s="60"/>
      <c r="H48" s="60"/>
      <c r="I48" s="37"/>
    </row>
    <row r="49" spans="1:9" ht="13.5" x14ac:dyDescent="0.2">
      <c r="A49" s="6"/>
      <c r="B49" s="6"/>
      <c r="C49" s="14"/>
      <c r="D49" s="14"/>
      <c r="E49" s="37"/>
      <c r="F49" s="59"/>
      <c r="G49" s="60"/>
      <c r="H49" s="60"/>
      <c r="I49" s="37"/>
    </row>
    <row r="50" spans="1:9" ht="13.5" x14ac:dyDescent="0.2">
      <c r="A50" s="79"/>
      <c r="B50" s="79"/>
      <c r="C50" s="80"/>
      <c r="D50" s="80"/>
      <c r="E50" s="37"/>
      <c r="F50" s="59"/>
      <c r="G50" s="60"/>
      <c r="H50" s="60"/>
      <c r="I50" s="37"/>
    </row>
    <row r="51" spans="1:9" ht="13.5" x14ac:dyDescent="0.2">
      <c r="A51" s="79"/>
      <c r="B51" s="79"/>
      <c r="C51" s="80"/>
      <c r="D51" s="80"/>
      <c r="E51" s="37"/>
      <c r="F51" s="61"/>
      <c r="G51" s="62"/>
      <c r="H51" s="62"/>
      <c r="I51" s="37"/>
    </row>
    <row r="52" spans="1:9" ht="15" thickBot="1" x14ac:dyDescent="0.35">
      <c r="A52" s="7"/>
      <c r="B52" s="7"/>
      <c r="C52" s="15"/>
      <c r="D52" s="15"/>
      <c r="E52" s="37"/>
      <c r="F52" s="63"/>
      <c r="G52" s="63"/>
      <c r="H52" s="63"/>
      <c r="I52" s="37"/>
    </row>
    <row r="53" spans="1:9" ht="14.25" thickBot="1" x14ac:dyDescent="0.25">
      <c r="A53" s="76" t="s">
        <v>22</v>
      </c>
      <c r="B53" s="76">
        <f>SUM(B38:B52)</f>
        <v>0</v>
      </c>
      <c r="C53" s="85" t="s">
        <v>36</v>
      </c>
      <c r="D53" s="77"/>
      <c r="E53" s="37"/>
      <c r="F53" s="37"/>
      <c r="G53" s="37"/>
      <c r="H53" s="37"/>
      <c r="I53" s="37"/>
    </row>
    <row r="54" spans="1:9" ht="15" thickBot="1" x14ac:dyDescent="0.35">
      <c r="A54" s="78"/>
      <c r="B54" s="78"/>
      <c r="C54" s="78"/>
      <c r="D54" s="78"/>
      <c r="E54" s="37"/>
      <c r="F54" s="37"/>
      <c r="G54" s="37"/>
      <c r="H54" s="37"/>
      <c r="I54" s="37"/>
    </row>
    <row r="55" spans="1:9" ht="18.75" thickBot="1" x14ac:dyDescent="0.25">
      <c r="A55" s="71" t="s">
        <v>14</v>
      </c>
      <c r="B55" s="72">
        <v>3</v>
      </c>
      <c r="C55" s="73" t="s">
        <v>23</v>
      </c>
      <c r="D55" s="82">
        <v>42898</v>
      </c>
      <c r="E55" s="37"/>
      <c r="F55" s="37"/>
      <c r="G55" s="37"/>
      <c r="H55" s="37"/>
      <c r="I55" s="37"/>
    </row>
    <row r="56" spans="1:9" ht="27.75" thickBot="1" x14ac:dyDescent="0.25">
      <c r="A56" s="74" t="s">
        <v>3</v>
      </c>
      <c r="B56" s="75" t="s">
        <v>15</v>
      </c>
      <c r="C56" s="74" t="s">
        <v>7</v>
      </c>
      <c r="D56" s="74" t="s">
        <v>13</v>
      </c>
    </row>
    <row r="57" spans="1:9" ht="13.5" x14ac:dyDescent="0.2">
      <c r="A57" s="9"/>
      <c r="B57" s="8"/>
      <c r="C57" s="13"/>
      <c r="D57" s="13"/>
    </row>
    <row r="58" spans="1:9" ht="13.5" x14ac:dyDescent="0.2">
      <c r="A58" s="5"/>
      <c r="B58" s="6"/>
      <c r="C58" s="14"/>
      <c r="D58" s="14"/>
    </row>
    <row r="59" spans="1:9" ht="13.5" x14ac:dyDescent="0.2">
      <c r="A59" s="5"/>
      <c r="B59" s="6"/>
      <c r="C59" s="14"/>
      <c r="D59" s="14"/>
    </row>
    <row r="60" spans="1:9" ht="13.5" x14ac:dyDescent="0.2">
      <c r="A60" s="5"/>
      <c r="B60" s="6"/>
      <c r="C60" s="14"/>
      <c r="D60" s="14"/>
    </row>
    <row r="61" spans="1:9" ht="13.5" x14ac:dyDescent="0.2">
      <c r="A61" s="5"/>
      <c r="B61" s="6"/>
      <c r="C61" s="14"/>
      <c r="D61" s="14"/>
    </row>
    <row r="62" spans="1:9" ht="13.5" x14ac:dyDescent="0.2">
      <c r="A62" s="5"/>
      <c r="B62" s="6"/>
      <c r="C62" s="14"/>
      <c r="D62" s="14"/>
    </row>
    <row r="63" spans="1:9" ht="13.5" x14ac:dyDescent="0.2">
      <c r="A63" s="5"/>
      <c r="B63" s="6"/>
      <c r="C63" s="14"/>
      <c r="D63" s="14"/>
    </row>
    <row r="64" spans="1:9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3.5" x14ac:dyDescent="0.2">
      <c r="A68" s="6"/>
      <c r="B68" s="6"/>
      <c r="C68" s="14"/>
      <c r="D68" s="14"/>
    </row>
    <row r="69" spans="1:4" ht="13.5" x14ac:dyDescent="0.2">
      <c r="A69" s="79"/>
      <c r="B69" s="79"/>
      <c r="C69" s="80"/>
      <c r="D69" s="80"/>
    </row>
    <row r="70" spans="1:4" ht="13.5" x14ac:dyDescent="0.2">
      <c r="A70" s="79"/>
      <c r="B70" s="79"/>
      <c r="C70" s="80"/>
      <c r="D70" s="80"/>
    </row>
    <row r="71" spans="1:4" ht="14.25" thickBot="1" x14ac:dyDescent="0.25">
      <c r="A71" s="7"/>
      <c r="B71" s="7"/>
      <c r="C71" s="15"/>
      <c r="D71" s="15"/>
    </row>
    <row r="72" spans="1:4" ht="14.25" thickBot="1" x14ac:dyDescent="0.25">
      <c r="A72" s="76" t="s">
        <v>22</v>
      </c>
      <c r="B72" s="76">
        <f>SUM(B57:B71)</f>
        <v>0</v>
      </c>
      <c r="C72" s="85" t="s">
        <v>36</v>
      </c>
      <c r="D72" s="77"/>
    </row>
    <row r="73" spans="1:4" ht="15" thickBot="1" x14ac:dyDescent="0.35">
      <c r="A73" s="78"/>
      <c r="B73" s="78"/>
      <c r="C73" s="78"/>
      <c r="D73" s="78"/>
    </row>
    <row r="74" spans="1:4" ht="18.75" thickBot="1" x14ac:dyDescent="0.25">
      <c r="A74" s="71" t="s">
        <v>14</v>
      </c>
      <c r="B74" s="72">
        <v>4</v>
      </c>
      <c r="C74" s="73" t="s">
        <v>23</v>
      </c>
      <c r="D74" s="82">
        <v>42905</v>
      </c>
    </row>
    <row r="75" spans="1:4" ht="27.75" thickBot="1" x14ac:dyDescent="0.25">
      <c r="A75" s="74" t="s">
        <v>3</v>
      </c>
      <c r="B75" s="75" t="s">
        <v>15</v>
      </c>
      <c r="C75" s="74" t="s">
        <v>7</v>
      </c>
      <c r="D75" s="74" t="s">
        <v>13</v>
      </c>
    </row>
    <row r="76" spans="1:4" ht="13.5" x14ac:dyDescent="0.2">
      <c r="A76" s="9"/>
      <c r="B76" s="8"/>
      <c r="C76" s="13"/>
      <c r="D76" s="13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6"/>
      <c r="B86" s="6"/>
      <c r="C86" s="14"/>
      <c r="D86" s="14"/>
    </row>
    <row r="87" spans="1:4" ht="13.5" x14ac:dyDescent="0.2">
      <c r="A87" s="6"/>
      <c r="B87" s="6"/>
      <c r="C87" s="14"/>
      <c r="D87" s="14"/>
    </row>
    <row r="88" spans="1:4" ht="13.5" x14ac:dyDescent="0.2">
      <c r="A88" s="79"/>
      <c r="B88" s="79"/>
      <c r="C88" s="80"/>
      <c r="D88" s="80"/>
    </row>
    <row r="89" spans="1:4" ht="13.5" x14ac:dyDescent="0.2">
      <c r="A89" s="79"/>
      <c r="B89" s="79"/>
      <c r="C89" s="80"/>
      <c r="D89" s="80"/>
    </row>
    <row r="90" spans="1:4" ht="14.25" thickBot="1" x14ac:dyDescent="0.25">
      <c r="A90" s="7"/>
      <c r="B90" s="7"/>
      <c r="C90" s="15"/>
      <c r="D90" s="15"/>
    </row>
    <row r="91" spans="1:4" ht="14.25" thickBot="1" x14ac:dyDescent="0.25">
      <c r="A91" s="76" t="s">
        <v>22</v>
      </c>
      <c r="B91" s="76">
        <f>SUM(B76:B90)</f>
        <v>0</v>
      </c>
      <c r="C91" s="85" t="s">
        <v>36</v>
      </c>
      <c r="D91" s="77"/>
    </row>
    <row r="92" spans="1:4" ht="14.25" x14ac:dyDescent="0.3">
      <c r="A92" s="78"/>
      <c r="B92" s="78"/>
      <c r="C92" s="78"/>
      <c r="D92" s="78"/>
    </row>
    <row r="93" spans="1:4" x14ac:dyDescent="0.2">
      <c r="A93" s="84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1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3:F50 B76:B90 B38:B52 B57:B71 B3:B3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 B53 B72 B91">
      <formula1>0</formula1>
      <formula2>NbPerWeek * NbQuartPer</formula2>
    </dataValidation>
    <dataValidation type="list" allowBlank="1" showInputMessage="1" showErrorMessage="1" sqref="A76:A90 A38:A52 A57:A71 A3:A33">
      <formula1>lstTasks</formula1>
    </dataValidation>
  </dataValidations>
  <hyperlinks>
    <hyperlink ref="D4" r:id="rId1"/>
    <hyperlink ref="D6" r:id="rId2"/>
    <hyperlink ref="D11" r:id="rId3"/>
    <hyperlink ref="D16" r:id="rId4"/>
    <hyperlink ref="D18" r:id="rId5"/>
    <hyperlink ref="D19" r:id="rId6"/>
    <hyperlink ref="D22" r:id="rId7"/>
    <hyperlink ref="D23" r:id="rId8"/>
    <hyperlink ref="D26" r:id="rId9"/>
    <hyperlink ref="D27" r:id="rId10"/>
    <hyperlink ref="D28" r:id="rId11"/>
    <hyperlink ref="D30" r:id="rId12"/>
    <hyperlink ref="D29" r:id="rId13"/>
    <hyperlink ref="D32" r:id="rId14"/>
    <hyperlink ref="D12" r:id="rId15"/>
    <hyperlink ref="D15" r:id="rId16"/>
    <hyperlink ref="D17" r:id="rId17"/>
    <hyperlink ref="D20" r:id="rId18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19"/>
  <headerFooter>
    <oddHeader>&amp;L&amp;"ETML L,Normal"&amp;24ETML</oddHeader>
    <oddFooter>&amp;C&amp;F&amp;L&amp;D</oddFooter>
  </headerFooter>
  <drawing r:id="rId20"/>
  <legacyDrawing r:id="rId21"/>
  <controls>
    <mc:AlternateContent xmlns:mc="http://schemas.openxmlformats.org/markup-compatibility/2006">
      <mc:Choice Requires="x14">
        <control shapeId="43009" r:id="rId22" name="btnImportRealisation">
          <controlPr defaultSize="0" autoLine="0" autoPict="0" r:id="rId2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22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2017-06-02T14:23:29Z</dcterms:modified>
  <cp:contentStatus>Version 8.0</cp:contentStatus>
</cp:coreProperties>
</file>